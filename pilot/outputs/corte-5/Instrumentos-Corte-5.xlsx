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68323f2d9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84c7a73b211545f1"/>
    <x:sheet xmlns:r="http://schemas.openxmlformats.org/officeDocument/2006/relationships" name="Compradores" sheetId="2" r:id="R20400a1084fb4692"/>
    <x:sheet xmlns:r="http://schemas.openxmlformats.org/officeDocument/2006/relationships" name="Diario" sheetId="3" r:id="R0014111186af4fc5"/>
    <x:sheet xmlns:r="http://schemas.openxmlformats.org/officeDocument/2006/relationships" name="Vendedores" sheetId="4" r:id="R0028978193e546e7"/>
    <x:sheet xmlns:r="http://schemas.openxmlformats.org/officeDocument/2006/relationships" name="Reconfirmacion" sheetId="5" r:id="R63f2a4d8902f499c"/>
    <x:sheet xmlns:r="http://schemas.openxmlformats.org/officeDocument/2006/relationships" name="Negocios" sheetId="6" r:id="R1ced466016da4256"/>
    <x:sheet xmlns:r="http://schemas.openxmlformats.org/officeDocument/2006/relationships" name="Consultas" sheetId="7" r:id="R846bea6d79fb4cfa"/>
    <x:sheet xmlns:r="http://schemas.openxmlformats.org/officeDocument/2006/relationships" name="Auditoria" sheetId="8" r:id="R27a3f977429d45a0"/>
    <x:sheet xmlns:r="http://schemas.openxmlformats.org/officeDocument/2006/relationships" name="Piloto" sheetId="9" r:id="R293bbcb4136b4e59"/>
    <x:sheet xmlns:r="http://schemas.openxmlformats.org/officeDocument/2006/relationships" name="Matriz" sheetId="10" r:id="Rbf7c67a237004309"/>
    <x:sheet xmlns:r="http://schemas.openxmlformats.org/officeDocument/2006/relationships" name="Diccionario" sheetId="11" r:id="Rbd993e0c11db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%"/>
    <x:numFmt numFmtId="202" formatCode="yyyy-mm-dd"/>
    <x:numFmt numFmtId="203" formatCode="0.0"/>
  </x:numFmts>
  <x:fonts count="6">
    <x:font>
      <x:sz val="11"/>
      <x:name val="Carlito"/>
    </x:font>
    <x:font>
      <x:b/>
      <x:sz val="16"/>
      <x:color rgb="FFFFFFFF"/>
      <x:name val="Aptos Display"/>
    </x:font>
    <x:font>
      <x:sz val="11"/>
      <x:color rgb="FF1D2A22"/>
      <x:name val="Aptos"/>
    </x:font>
    <x:font>
      <x:b/>
      <x:sz val="11"/>
      <x:color rgb="FFFFFFFF"/>
      <x:name val="Aptos"/>
    </x:font>
    <x:font>
      <x:b/>
      <x:sz val="11"/>
      <x:color rgb="FF2F5D50"/>
      <x:name val="Carlito"/>
    </x:font>
    <x:font>
      <x:sz val="10"/>
      <x:color rgb="FF1D2A22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F5D50"/>
      </x:patternFill>
    </x:fill>
    <x:fill>
      <x:patternFill patternType="solid">
        <x:fgColor rgb="FFF5F0E6"/>
      </x:patternFill>
    </x:fill>
    <x:fill>
      <x:patternFill patternType="solid">
        <x:fgColor rgb="FFDCE9E3"/>
      </x:patternFill>
    </x:fill>
    <x:fill>
      <x:patternFill patternType="solid">
        <x:fgColor rgb="FFF7D7D4"/>
      </x:patternFill>
    </x:fill>
  </x:fills>
  <x:borders count="13">
    <x:border/>
    <x:border>
      <x:left style="thin">
        <x:color rgb="FFCBD5CE"/>
      </x:left>
      <x:top style="thin">
        <x:color rgb="FFCBD5CE"/>
      </x:top>
    </x:border>
    <x:border>
      <x:top style="thin">
        <x:color rgb="FFCBD5CE"/>
      </x:top>
    </x:border>
    <x:border>
      <x:right style="thin">
        <x:color rgb="FFCBD5CE"/>
      </x:right>
      <x:top style="thin">
        <x:color rgb="FFCBD5CE"/>
      </x:top>
    </x:border>
    <x:border>
      <x:left style="thin">
        <x:color rgb="FFCBD5CE"/>
      </x:left>
      <x:bottom style="thin">
        <x:color rgb="FFCBD5CE"/>
      </x:bottom>
    </x:border>
    <x:border>
      <x:bottom style="thin">
        <x:color rgb="FFCBD5CE"/>
      </x:bottom>
    </x:border>
    <x:border>
      <x:right style="thin">
        <x:color rgb="FFCBD5CE"/>
      </x:right>
      <x:bottom style="thin">
        <x:color rgb="FFCBD5CE"/>
      </x:bottom>
    </x:border>
    <x:border>
      <x:left style="thin">
        <x:color rgb="FF2F5D50"/>
      </x:left>
      <x:top style="thin">
        <x:color rgb="FF2F5D50"/>
      </x:top>
      <x:bottom style="thin">
        <x:color rgb="FF2F5D50"/>
      </x:bottom>
    </x:border>
    <x:border>
      <x:top style="thin">
        <x:color rgb="FF2F5D50"/>
      </x:top>
      <x:bottom style="thin">
        <x:color rgb="FF2F5D50"/>
      </x:bottom>
    </x:border>
    <x:border>
      <x:right style="thin">
        <x:color rgb="FF2F5D50"/>
      </x:right>
      <x:top style="thin">
        <x:color rgb="FF2F5D50"/>
      </x:top>
      <x:bottom style="thin">
        <x:color rgb="FF2F5D50"/>
      </x:bottom>
    </x:border>
    <x:border>
      <x:top style="thin">
        <x:color rgb="FFCBD5CE"/>
      </x:top>
      <x:bottom style="thin">
        <x:color rgb="FFCBD5CE"/>
      </x:bottom>
    </x:border>
    <x:border>
      <x:left style="thin">
        <x:color rgb="FFCBD5CE"/>
      </x:left>
    </x:border>
    <x:border>
      <x:right style="thin">
        <x:color rgb="FFCBD5CE"/>
      </x:right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vertical="center" wrapText="1"/>
    </x:xf>
    <x:xf numFmtId="0" fontId="3" fillId="2" borderId="9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10" xfId="0" applyNumberFormat="1" applyFont="1" applyFill="1" applyBorder="1"/>
    <x:xf numFmtId="200" fontId="0" fillId="0" borderId="5" xfId="0" applyNumberFormat="1" applyFont="1" applyFill="1" applyBorder="1"/>
    <x:xf numFmtId="200" fontId="0" fillId="0" borderId="10" xfId="0" applyNumberFormat="1" applyFont="1" applyFill="1" applyBorder="1"/>
    <x:xf numFmtId="201" fontId="0" fillId="0" borderId="5" xfId="0" applyNumberFormat="1" applyFont="1" applyFill="1" applyBorder="1"/>
    <x:xf numFmtId="201" fontId="0" fillId="0" borderId="1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11" xfId="0" applyNumberFormat="1" applyFont="1" applyFill="1" applyBorder="1"/>
    <x:xf numFmtId="0" fontId="2" fillId="5" borderId="12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2" fillId="5" borderId="1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 wrapText="1"/>
    </x:xf>
    <x:xf numFmtId="0" fontId="2" fillId="5" borderId="3" xfId="0" applyNumberFormat="1" applyFont="1" applyFill="1" applyBorder="1" applyAlignment="1">
      <x:alignment vertical="top" wrapText="1"/>
    </x:xf>
    <x:xf numFmtId="0" fontId="2" fillId="5" borderId="1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2" xfId="0" applyNumberFormat="1" applyFont="1" applyFill="1" applyBorder="1" applyAlignment="1">
      <x:alignment vertical="top" wrapText="1"/>
    </x:xf>
    <x:xf numFmtId="0" fontId="2" fillId="5" borderId="4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2" fillId="5" borderId="6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/>
    </x:xf>
    <x:xf numFmtId="0" fontId="5" fillId="0" borderId="10" xfId="0" applyNumberFormat="1" applyFont="1" applyFill="1" applyBorder="1" applyAlignment="1">
      <x:alignment vertical="top"/>
    </x:xf>
    <x:xf numFmtId="202" fontId="5" fillId="0" borderId="5" xfId="0" applyNumberFormat="1" applyFont="1" applyFill="1" applyBorder="1" applyAlignment="1">
      <x:alignment vertical="top"/>
    </x:xf>
    <x:xf numFmtId="202" fontId="5" fillId="0" borderId="10" xfId="0" applyNumberFormat="1" applyFont="1" applyFill="1" applyBorder="1" applyAlignment="1">
      <x:alignment vertical="top"/>
    </x:xf>
    <x:xf numFmtId="200" fontId="5" fillId="0" borderId="5" xfId="0" applyNumberFormat="1" applyFont="1" applyFill="1" applyBorder="1" applyAlignment="1">
      <x:alignment vertical="top"/>
    </x:xf>
    <x:xf numFmtId="200" fontId="5" fillId="0" borderId="10" xfId="0" applyNumberFormat="1" applyFont="1" applyFill="1" applyBorder="1" applyAlignment="1">
      <x:alignment vertical="top"/>
    </x:xf>
    <x:xf numFmtId="0" fontId="2" fillId="0" borderId="0" xfId="0" applyNumberFormat="1" applyFont="1" applyFill="1" applyBorder="1"/>
    <x:xf numFmtId="0" fontId="2" fillId="0" borderId="5" xfId="0" applyNumberFormat="1" applyFont="1" applyFill="1" applyBorder="1"/>
    <x:xf numFmtId="0" fontId="2" fillId="0" borderId="10" xfId="0" applyNumberFormat="1" applyFont="1" applyFill="1" applyBorder="1"/>
    <x:xf numFmtId="200" fontId="2" fillId="0" borderId="5" xfId="0" applyNumberFormat="1" applyFont="1" applyFill="1" applyBorder="1"/>
    <x:xf numFmtId="200" fontId="2" fillId="0" borderId="10" xfId="0" applyNumberFormat="1" applyFont="1" applyFill="1" applyBorder="1"/>
    <x:xf numFmtId="203" fontId="2" fillId="0" borderId="5" xfId="0" applyNumberFormat="1" applyFont="1" applyFill="1" applyBorder="1"/>
    <x:xf numFmtId="203" fontId="2" fillId="0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16">
    <x:dxf>
      <x:font>
        <x:b/>
        <x:color rgb="FF2F5D50"/>
      </x:font>
      <x:fill>
        <x:patternFill patternType="solid">
          <x:bgColor rgb="FFDCE9E3"/>
        </x:patternFill>
      </x:fill>
    </x:dxf>
    <x:dxf>
      <x:font>
        <x:color rgb="FF1D2A22"/>
      </x:font>
      <x:fill>
        <x:patternFill patternType="solid">
          <x:bgColor rgb="FFF4D58D"/>
        </x:patternFill>
      </x:fill>
    </x:dxf>
    <x:dxf>
      <x:font>
        <x:b/>
        <x:color rgb="FF2F5D50"/>
      </x:font>
      <x:fill>
        <x:patternFill patternType="solid">
          <x:bgColor rgb="FFDCE9E3"/>
        </x:patternFill>
      </x:fill>
    </x:dxf>
    <x:dxf>
      <x:font>
        <x:color rgb="FF1D2A22"/>
      </x:font>
      <x:fill>
        <x:patternFill patternType="solid">
          <x:bgColor rgb="FFF4D58D"/>
        </x:patternFill>
      </x:fill>
    </x:dxf>
    <x:dxf>
      <x:font>
        <x:b/>
        <x:color rgb="FF2F5D50"/>
      </x:font>
      <x:fill>
        <x:patternFill patternType="solid">
          <x:bgColor rgb="FFDCE9E3"/>
        </x:patternFill>
      </x:fill>
    </x:dxf>
    <x:dxf>
      <x:font>
        <x:color rgb="FF1D2A22"/>
      </x:font>
      <x:fill>
        <x:patternFill patternType="solid">
          <x:bgColor rgb="FFF4D58D"/>
        </x:patternFill>
      </x:fill>
    </x:dxf>
    <x:dxf>
      <x:font>
        <x:b/>
        <x:color rgb="FF2F5D50"/>
      </x:font>
      <x:fill>
        <x:patternFill patternType="solid">
          <x:bgColor rgb="FFDCE9E3"/>
        </x:patternFill>
      </x:fill>
    </x:dxf>
    <x:dxf>
      <x:font>
        <x:color rgb="FF1D2A22"/>
      </x:font>
      <x:fill>
        <x:patternFill patternType="solid">
          <x:bgColor rgb="FFF4D58D"/>
        </x:patternFill>
      </x:fill>
    </x:dxf>
    <x:dxf>
      <x:font>
        <x:b/>
        <x:color rgb="FF2F5D50"/>
      </x:font>
      <x:fill>
        <x:patternFill patternType="solid">
          <x:bgColor rgb="FFDCE9E3"/>
        </x:patternFill>
      </x:fill>
    </x:dxf>
    <x:dxf>
      <x:font>
        <x:color rgb="FF1D2A22"/>
      </x:font>
      <x:fill>
        <x:patternFill patternType="solid">
          <x:bgColor rgb="FFF4D58D"/>
        </x:patternFill>
      </x:fill>
    </x:dxf>
    <x:dxf>
      <x:font>
        <x:b/>
        <x:color rgb="FF2F5D50"/>
      </x:font>
      <x:fill>
        <x:patternFill patternType="solid">
          <x:bgColor rgb="FFDCE9E3"/>
        </x:patternFill>
      </x:fill>
    </x:dxf>
    <x:dxf>
      <x:font>
        <x:color rgb="FF1D2A22"/>
      </x:font>
      <x:fill>
        <x:patternFill patternType="solid">
          <x:bgColor rgb="FFF4D58D"/>
        </x:patternFill>
      </x:fill>
    </x:dxf>
    <x:dxf>
      <x:font>
        <x:b/>
        <x:color rgb="FF2F5D50"/>
      </x:font>
      <x:fill>
        <x:patternFill patternType="solid">
          <x:bgColor rgb="FFDCE9E3"/>
        </x:patternFill>
      </x:fill>
    </x:dxf>
    <x:dxf>
      <x:font>
        <x:color rgb="FF1D2A22"/>
      </x:font>
      <x:fill>
        <x:patternFill patternType="solid">
          <x:bgColor rgb="FFF4D58D"/>
        </x:patternFill>
      </x:fill>
    </x:dxf>
    <x:dxf>
      <x:font>
        <x:b/>
        <x:color rgb="FF2F5D50"/>
      </x:font>
      <x:fill>
        <x:patternFill patternType="solid">
          <x:bgColor rgb="FFDCE9E3"/>
        </x:patternFill>
      </x:fill>
    </x:dxf>
    <x:dxf>
      <x:font>
        <x:color rgb="FF1D2A22"/>
      </x:font>
      <x:fill>
        <x:patternFill patternType="solid">
          <x:bgColor rgb="FFF4D58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6c3e74f19b4c41" /><Relationship Type="http://schemas.openxmlformats.org/officeDocument/2006/relationships/theme" Target="/xl/theme/theme1.xml" Id="Ra6da258519494ae1" /><Relationship Type="http://schemas.openxmlformats.org/officeDocument/2006/relationships/sharedStrings" Target="/xl/sharedStrings.xml" Id="Raeafb6b73f9c4ee1" /><Relationship Type="http://schemas.openxmlformats.org/officeDocument/2006/relationships/worksheet" Target="/xl/worksheets/sheet1.xml" Id="R84c7a73b211545f1" /><Relationship Type="http://schemas.openxmlformats.org/officeDocument/2006/relationships/worksheet" Target="/xl/worksheets/sheet2.xml" Id="R20400a1084fb4692" /><Relationship Type="http://schemas.openxmlformats.org/officeDocument/2006/relationships/worksheet" Target="/xl/worksheets/sheet3.xml" Id="R0014111186af4fc5" /><Relationship Type="http://schemas.openxmlformats.org/officeDocument/2006/relationships/worksheet" Target="/xl/worksheets/sheet4.xml" Id="R0028978193e546e7" /><Relationship Type="http://schemas.openxmlformats.org/officeDocument/2006/relationships/worksheet" Target="/xl/worksheets/sheet5.xml" Id="R63f2a4d8902f499c" /><Relationship Type="http://schemas.openxmlformats.org/officeDocument/2006/relationships/worksheet" Target="/xl/worksheets/sheet6.xml" Id="R1ced466016da4256" /><Relationship Type="http://schemas.openxmlformats.org/officeDocument/2006/relationships/worksheet" Target="/xl/worksheets/sheet7.xml" Id="R846bea6d79fb4cfa" /><Relationship Type="http://schemas.openxmlformats.org/officeDocument/2006/relationships/worksheet" Target="/xl/worksheets/sheet8.xml" Id="R27a3f977429d45a0" /><Relationship Type="http://schemas.openxmlformats.org/officeDocument/2006/relationships/worksheet" Target="/xl/worksheets/sheet9.xml" Id="R293bbcb4136b4e59" /><Relationship Type="http://schemas.openxmlformats.org/officeDocument/2006/relationships/worksheet" Target="/xl/worksheets/sheet10.xml" Id="Rbf7c67a237004309" /><Relationship Type="http://schemas.openxmlformats.org/officeDocument/2006/relationships/worksheet" Target="/xl/worksheets/sheet11.xml" Id="Rbd993e0c11db4214" /><Relationship Type="http://schemas.microsoft.com/office/2017/10/relationships/person" Target="/xl/persons/person.xml" Id="Re86ba2dae9fb4d02" /></Relationships>
</file>

<file path=xl/persons/person.xml><?xml version="1.0" encoding="utf-8"?>
<xltc:personList xmlns:xltc="http://schemas.microsoft.com/office/spreadsheetml/2018/threadedcomments">
  <xltc:person displayName="Ale" id="{290FA9E3-19EB-4AC0-B465-17B9AA1498F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13" hidden="0" customWidth="1"/>
    <x:col min="4" max="4" width="13" hidden="0" customWidth="1"/>
    <x:col min="5" max="5" width="13" hidden="0" customWidth="1"/>
    <x:col min="6" max="6" width="29" hidden="0" customWidth="1"/>
  </x:cols>
  <x:sheetData>
    <x:row r="1" ht="32" customHeight="1">
      <x:c r="A1" s="3" t="str">
        <x:v>Corte 5 — instrumentos de evidencia</x:v>
      </x:c>
      <x:c r="B1" s="3" t="str">
        <x:v>Corte 5 — instrumentos de evidencia</x:v>
      </x:c>
      <x:c r="C1" s="3" t="str">
        <x:v>Corte 5 — instrumentos de evidencia</x:v>
      </x:c>
      <x:c r="D1" s="3" t="str">
        <x:v>Corte 5 — instrumentos de evidencia</x:v>
      </x:c>
      <x:c r="E1" s="3" t="str">
        <x:v>Corte 5 — instrumentos de evidencia</x:v>
      </x:c>
      <x:c r="F1" s="3" t="str">
        <x:v>Corte 5 — instrumentos de evidencia</x:v>
      </x:c>
    </x:row>
    <x:row r="3">
      <x:c r="A3" s="18" t="str">
        <x:v>Libro maestro sin observaciones reales. Copiarlo a pilot/evidence/local antes de una actividad autorizada. Pendiente no significa fallo; significa que todavía no existe evidencia.</x:v>
      </x:c>
      <x:c r="B3" s="19" t="str">
        <x:v>Libro maestro sin observaciones reales. Copiarlo a pilot/evidence/local antes de una actividad autorizada. Pendiente no significa fallo; significa que todavía no existe evidencia.</x:v>
      </x:c>
      <x:c r="C3" s="19" t="str">
        <x:v>Libro maestro sin observaciones reales. Copiarlo a pilot/evidence/local antes de una actividad autorizada. Pendiente no significa fallo; significa que todavía no existe evidencia.</x:v>
      </x:c>
      <x:c r="D3" s="19" t="str">
        <x:v>Libro maestro sin observaciones reales. Copiarlo a pilot/evidence/local antes de una actividad autorizada. Pendiente no significa fallo; significa que todavía no existe evidencia.</x:v>
      </x:c>
      <x:c r="E3" s="19" t="str">
        <x:v>Libro maestro sin observaciones reales. Copiarlo a pilot/evidence/local antes de una actividad autorizada. Pendiente no significa fallo; significa que todavía no existe evidencia.</x:v>
      </x:c>
      <x:c r="F3" s="20" t="str">
        <x:v>Libro maestro sin observaciones reales. Copiarlo a pilot/evidence/local antes de una actividad autorizada. Pendiente no significa fallo; significa que todavía no existe evidencia.</x:v>
      </x:c>
    </x:row>
    <x:row r="4">
      <x:c r="A4" s="21" t="str">
        <x:v>Libro maestro sin observaciones reales. Copiarlo a pilot/evidence/local antes de una actividad autorizada. Pendiente no significa fallo; significa que todavía no existe evidencia.</x:v>
      </x:c>
      <x:c r="B4" s="22" t="str">
        <x:v>Libro maestro sin observaciones reales. Copiarlo a pilot/evidence/local antes de una actividad autorizada. Pendiente no significa fallo; significa que todavía no existe evidencia.</x:v>
      </x:c>
      <x:c r="C4" s="22" t="str">
        <x:v>Libro maestro sin observaciones reales. Copiarlo a pilot/evidence/local antes de una actividad autorizada. Pendiente no significa fallo; significa que todavía no existe evidencia.</x:v>
      </x:c>
      <x:c r="D4" s="22" t="str">
        <x:v>Libro maestro sin observaciones reales. Copiarlo a pilot/evidence/local antes de una actividad autorizada. Pendiente no significa fallo; significa que todavía no existe evidencia.</x:v>
      </x:c>
      <x:c r="E4" s="22" t="str">
        <x:v>Libro maestro sin observaciones reales. Copiarlo a pilot/evidence/local antes de una actividad autorizada. Pendiente no significa fallo; significa que todavía no existe evidencia.</x:v>
      </x:c>
      <x:c r="F4" s="23" t="str">
        <x:v>Libro maestro sin observaciones reales. Copiarlo a pilot/evidence/local antes de una actividad autorizada. Pendiente no significa fallo; significa que todavía no existe evidencia.</x:v>
      </x:c>
    </x:row>
    <x:row r="6" ht="42" customHeight="1">
      <x:c r="A6" s="31" t="str">
        <x:v>Instrumento</x:v>
      </x:c>
      <x:c r="B6" s="32" t="str">
        <x:v>Unidad esperada</x:v>
      </x:c>
      <x:c r="C6" s="32" t="str">
        <x:v>Preparadas</x:v>
      </x:c>
      <x:c r="D6" s="32" t="str">
        <x:v>Observadas</x:v>
      </x:c>
      <x:c r="E6" s="32" t="str">
        <x:v>Cobertura</x:v>
      </x:c>
      <x:c r="F6" s="33" t="str">
        <x:v>Lectura</x:v>
      </x:c>
    </x:row>
    <x:row r="7">
      <x:c r="A7" s="34" t="str">
        <x:v>Entrevistas comprador</x:v>
      </x:c>
      <x:c r="B7" s="34" t="str">
        <x:v>entrevistas</x:v>
      </x:c>
      <x:c r="C7" s="36" t="n">
        <x:v>30</x:v>
      </x:c>
      <x:c r="D7" s="36" t="n">
        <x:f>COUNTIF('Compradores'!$B$2:$B$31,"observado")</x:f>
        <x:v>0</x:v>
      </x:c>
      <x:c r="E7" s="38" t="n">
        <x:f>IF(C7=0,0,D7/C7)</x:f>
        <x:v>0</x:v>
      </x:c>
      <x:c r="F7" s="34" t="str">
        <x:f>IF(D7=0,"sin evidencia",IF(D7&lt;C7,"parcial","muestra prevista observada"))</x:f>
        <x:v>sin evidencia</x:v>
      </x:c>
    </x:row>
    <x:row r="8">
      <x:c r="A8" s="35" t="str">
        <x:v>Diario de busqueda</x:v>
      </x:c>
      <x:c r="B8" s="35" t="str">
        <x:v>persona-dia</x:v>
      </x:c>
      <x:c r="C8" s="37" t="n">
        <x:v>100</x:v>
      </x:c>
      <x:c r="D8" s="37" t="n">
        <x:f>COUNTIF('Diario'!$D$2:$D$101,"observado")</x:f>
        <x:v>0</x:v>
      </x:c>
      <x:c r="E8" s="39" t="n">
        <x:f>IF(C8=0,0,D8/C8)</x:f>
        <x:v>0</x:v>
      </x:c>
      <x:c r="F8" s="35" t="str">
        <x:f>IF(D8=0,"sin evidencia",IF(D8&lt;C8,"parcial","muestra prevista observada"))</x:f>
        <x:v>sin evidencia</x:v>
      </x:c>
    </x:row>
    <x:row r="9">
      <x:c r="A9" s="35" t="str">
        <x:v>Mantenimiento vendedor</x:v>
      </x:c>
      <x:c r="B9" s="35" t="str">
        <x:v>tareas</x:v>
      </x:c>
      <x:c r="C9" s="37" t="n">
        <x:v>72</x:v>
      </x:c>
      <x:c r="D9" s="37" t="n">
        <x:f>COUNTIF('Vendedores'!$E$2:$E$73,"observado")</x:f>
        <x:v>0</x:v>
      </x:c>
      <x:c r="E9" s="39" t="n">
        <x:f>IF(C9=0,0,D9/C9)</x:f>
        <x:v>0</x:v>
      </x:c>
      <x:c r="F9" s="35" t="str">
        <x:f>IF(D9=0,"sin evidencia",IF(D9&lt;C9,"parcial","muestra prevista observada"))</x:f>
        <x:v>sin evidencia</x:v>
      </x:c>
    </x:row>
    <x:row r="10">
      <x:c r="A10" s="35" t="str">
        <x:v>Reconfirmacion semanal</x:v>
      </x:c>
      <x:c r="B10" s="35" t="str">
        <x:v>vendedores</x:v>
      </x:c>
      <x:c r="C10" s="37" t="n">
        <x:v>24</x:v>
      </x:c>
      <x:c r="D10" s="37" t="n">
        <x:f>COUNTIF('Reconfirmacion'!$D$2:$D$25,"observado")</x:f>
        <x:v>0</x:v>
      </x:c>
      <x:c r="E10" s="39" t="n">
        <x:f>IF(C10=0,0,D10/C10)</x:f>
        <x:v>0</x:v>
      </x:c>
      <x:c r="F10" s="35" t="str">
        <x:f>IF(D10=0,"sin evidencia",IF(D10&lt;C10,"parcial","muestra prevista observada"))</x:f>
        <x:v>sin evidencia</x:v>
      </x:c>
    </x:row>
    <x:row r="11">
      <x:c r="A11" s="35" t="str">
        <x:v>Censo de negocios</x:v>
      </x:c>
      <x:c r="B11" s="35" t="str">
        <x:v>negocios</x:v>
      </x:c>
      <x:c r="C11" s="37" t="n">
        <x:v>100</x:v>
      </x:c>
      <x:c r="D11" s="37" t="n">
        <x:f>COUNTIF('Negocios'!$B$2:$B$101,"observado")</x:f>
        <x:v>0</x:v>
      </x:c>
      <x:c r="E11" s="39" t="n">
        <x:f>IF(C11=0,0,D11/C11)</x:f>
        <x:v>0</x:v>
      </x:c>
      <x:c r="F11" s="35" t="str">
        <x:f>IF(D11=0,"sin evidencia",IF(D11&lt;C11,"parcial","muestra prevista observada"))</x:f>
        <x:v>sin evidencia</x:v>
      </x:c>
    </x:row>
    <x:row r="12">
      <x:c r="A12" s="35" t="str">
        <x:v>Consultas reales</x:v>
      </x:c>
      <x:c r="B12" s="35" t="str">
        <x:v>consultas</x:v>
      </x:c>
      <x:c r="C12" s="37" t="n">
        <x:v>20</x:v>
      </x:c>
      <x:c r="D12" s="37" t="n">
        <x:f>COUNTIF('Consultas'!$B$2:$B$21,"observado")</x:f>
        <x:v>0</x:v>
      </x:c>
      <x:c r="E12" s="39" t="n">
        <x:f>IF(C12=0,0,D12/C12)</x:f>
        <x:v>0</x:v>
      </x:c>
      <x:c r="F12" s="35" t="str">
        <x:f>IF(D12=0,"sin evidencia",IF(D12&lt;C12,"parcial","muestra prevista observada"))</x:f>
        <x:v>sin evidencia</x:v>
      </x:c>
    </x:row>
    <x:row r="13">
      <x:c r="A13" s="35" t="str">
        <x:v>Auditoria comparativa</x:v>
      </x:c>
      <x:c r="B13" s="35" t="str">
        <x:v>intentos canal-consulta</x:v>
      </x:c>
      <x:c r="C13" s="37" t="n">
        <x:v>120</x:v>
      </x:c>
      <x:c r="D13" s="37" t="n">
        <x:f>COUNTIF('Auditoria'!$D$2:$D$121,"observado")</x:f>
        <x:v>0</x:v>
      </x:c>
      <x:c r="E13" s="39" t="n">
        <x:f>IF(C13=0,0,D13/C13)</x:f>
        <x:v>0</x:v>
      </x:c>
      <x:c r="F13" s="35" t="str">
        <x:f>IF(D13=0,"sin evidencia",IF(D13&lt;C13,"parcial","muestra prevista observada"))</x:f>
        <x:v>sin evidencia</x:v>
      </x:c>
    </x:row>
    <x:row r="14">
      <x:c r="A14" s="35" t="str">
        <x:v>Piloto posterior</x:v>
      </x:c>
      <x:c r="B14" s="35" t="str">
        <x:v>recorridos</x:v>
      </x:c>
      <x:c r="C14" s="37" t="n">
        <x:v>30</x:v>
      </x:c>
      <x:c r="D14" s="37" t="n">
        <x:f>COUNTIF('Piloto'!$B$2:$B$31,"observado")</x:f>
        <x:v>0</x:v>
      </x:c>
      <x:c r="E14" s="39" t="n">
        <x:f>IF(C14=0,0,D14/C14)</x:f>
        <x:v>0</x:v>
      </x:c>
      <x:c r="F14" s="35" t="str">
        <x:f>IF(D14=0,"sin evidencia",IF(D14&lt;C14,"parcial","muestra prevista observada"))</x:f>
        <x:v>sin evidencia</x:v>
      </x:c>
    </x:row>
    <x:row r="16">
      <x:c r="A16" s="41" t="str">
        <x:v>Límite de privacidad y autoridad</x:v>
      </x:c>
      <x:c r="B16" s="41" t="str">
        <x:v>Límite de privacidad y autoridad</x:v>
      </x:c>
      <x:c r="C16" s="41" t="str">
        <x:v>Límite de privacidad y autoridad</x:v>
      </x:c>
      <x:c r="D16" s="41" t="str">
        <x:v>Límite de privacidad y autoridad</x:v>
      </x:c>
      <x:c r="E16" s="41" t="str">
        <x:v>Límite de privacidad y autoridad</x:v>
      </x:c>
      <x:c r="F16" s="41" t="str">
        <x:v>Límite de privacidad y autoridad</x:v>
      </x:c>
    </x:row>
    <x:row r="17">
      <x:c r="A17" s="61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B17" s="62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C17" s="62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D17" s="62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E17" s="62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F17" s="63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</x:row>
    <x:row r="18">
      <x:c r="A18" s="64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B18" s="65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C18" s="65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D18" s="65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E18" s="65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F18" s="66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</x:row>
    <x:row r="19">
      <x:c r="A19" s="64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B19" s="65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C19" s="65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D19" s="65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E19" s="65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F19" s="66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</x:row>
    <x:row r="20">
      <x:c r="A20" s="67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B20" s="68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C20" s="68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D20" s="68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E20" s="68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  <x:c r="F20" s="69" t="str">
        <x:v>No registrar nombres, teléfonos, correos, cuentas, direcciones, coordenadas, chats, documentos, pagos ni ventas. Preparar instrumentos está autorizado; contacto, campo, publicación, despliegue, proveedores, credenciales y gasto requieren autorización separada de Ale.</x:v>
      </x:c>
    </x:row>
  </x:sheetData>
  <x:mergeCells>
    <x:mergeCell ref="A1:F1"/>
    <x:mergeCell ref="A3:F4"/>
    <x:mergeCell ref="A16:F16"/>
    <x:mergeCell ref="A17:F20"/>
  </x:mergeCells>
  <x:conditionalFormatting sqref="E7:E14">
    <x:cfRule type="colorScale" priority="1">
      <x:colorScale>
        <x:cfvo type="min"/>
        <x:cfvo type="percentile" val="50"/>
        <x:cfvo type="max"/>
        <x:color rgb="FFF7D7D4"/>
        <x:color rgb="FFF4D58D"/>
        <x:color rgb="FFDCE9E3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3" hidden="0" customWidth="1"/>
    <x:col min="4" max="4" width="30" hidden="0" customWidth="1"/>
    <x:col min="5" max="5" width="18" hidden="0" customWidth="1"/>
    <x:col min="6" max="6" width="26" hidden="0" customWidth="1"/>
    <x:col min="7" max="7" width="11" hidden="0" customWidth="1"/>
    <x:col min="8" max="8" width="10" hidden="0" customWidth="1"/>
    <x:col min="9" max="9" width="22" hidden="0" customWidth="1"/>
    <x:col min="10" max="10" width="24" hidden="0" customWidth="1"/>
    <x:col min="11" max="11" width="22" hidden="0" customWidth="1"/>
    <x:col min="12" max="12" width="32" hidden="0" customWidth="1"/>
    <x:col min="13" max="13" width="32" hidden="0" customWidth="1"/>
  </x:cols>
  <x:sheetData>
    <x:row r="1" ht="42" customHeight="1">
      <x:c r="A1" s="31" t="str">
        <x:v>codigo</x:v>
      </x:c>
      <x:c r="B1" s="32" t="str">
        <x:v>estado_evidencia</x:v>
      </x:c>
      <x:c r="C1" s="32" t="str">
        <x:v>fecha</x:v>
      </x:c>
      <x:c r="D1" s="32" t="str">
        <x:v>consulta_normalizada</x:v>
      </x:c>
      <x:c r="E1" s="32" t="str">
        <x:v>consulta_repetida</x:v>
      </x:c>
      <x:c r="F1" s="32" t="str">
        <x:v>canal_inicial</x:v>
      </x:c>
      <x:c r="G1" s="32" t="str">
        <x:v>contactos</x:v>
      </x:c>
      <x:c r="H1" s="32" t="str">
        <x:v>pasos</x:v>
      </x:c>
      <x:c r="I1" s="32" t="str">
        <x:v>segundos_hasta_respuesta</x:v>
      </x:c>
      <x:c r="J1" s="32" t="str">
        <x:v>dato_faltante</x:v>
      </x:c>
      <x:c r="K1" s="32" t="str">
        <x:v>desenlace</x:v>
      </x:c>
      <x:c r="L1" s="32" t="str">
        <x:v>evidencia_para_decidir</x:v>
      </x:c>
      <x:c r="M1" s="33" t="str">
        <x:v>nota_sin_pii</x:v>
      </x:c>
    </x:row>
    <x:row r="2">
      <x:c r="A2" s="72" t="str">
        <x:v>C01</x:v>
      </x:c>
      <x:c r="B2" s="72" t="str">
        <x:v>pendiente</x:v>
      </x:c>
      <x:c r="C2" s="74"/>
      <x:c r="D2" s="72"/>
      <x:c r="E2" s="72"/>
      <x:c r="F2" s="72"/>
      <x:c r="G2" s="76"/>
      <x:c r="H2" s="76"/>
      <x:c r="I2" s="76"/>
      <x:c r="J2" s="72"/>
      <x:c r="K2" s="72"/>
      <x:c r="L2" s="72"/>
      <x:c r="M2" s="72"/>
    </x:row>
    <x:row r="3">
      <x:c r="A3" s="73" t="str">
        <x:v>C02</x:v>
      </x:c>
      <x:c r="B3" s="73" t="str">
        <x:v>pendiente</x:v>
      </x:c>
      <x:c r="C3" s="75"/>
      <x:c r="D3" s="73"/>
      <x:c r="E3" s="73"/>
      <x:c r="F3" s="73"/>
      <x:c r="G3" s="77"/>
      <x:c r="H3" s="77"/>
      <x:c r="I3" s="77"/>
      <x:c r="J3" s="73"/>
      <x:c r="K3" s="73"/>
      <x:c r="L3" s="73"/>
      <x:c r="M3" s="73"/>
    </x:row>
    <x:row r="4">
      <x:c r="A4" s="73" t="str">
        <x:v>C03</x:v>
      </x:c>
      <x:c r="B4" s="73" t="str">
        <x:v>pendiente</x:v>
      </x:c>
      <x:c r="C4" s="75"/>
      <x:c r="D4" s="73"/>
      <x:c r="E4" s="73"/>
      <x:c r="F4" s="73"/>
      <x:c r="G4" s="77"/>
      <x:c r="H4" s="77"/>
      <x:c r="I4" s="77"/>
      <x:c r="J4" s="73"/>
      <x:c r="K4" s="73"/>
      <x:c r="L4" s="73"/>
      <x:c r="M4" s="73"/>
    </x:row>
    <x:row r="5">
      <x:c r="A5" s="73" t="str">
        <x:v>C04</x:v>
      </x:c>
      <x:c r="B5" s="73" t="str">
        <x:v>pendiente</x:v>
      </x:c>
      <x:c r="C5" s="75"/>
      <x:c r="D5" s="73"/>
      <x:c r="E5" s="73"/>
      <x:c r="F5" s="73"/>
      <x:c r="G5" s="77"/>
      <x:c r="H5" s="77"/>
      <x:c r="I5" s="77"/>
      <x:c r="J5" s="73"/>
      <x:c r="K5" s="73"/>
      <x:c r="L5" s="73"/>
      <x:c r="M5" s="73"/>
    </x:row>
    <x:row r="6">
      <x:c r="A6" s="73" t="str">
        <x:v>C05</x:v>
      </x:c>
      <x:c r="B6" s="73" t="str">
        <x:v>pendiente</x:v>
      </x:c>
      <x:c r="C6" s="75"/>
      <x:c r="D6" s="73"/>
      <x:c r="E6" s="73"/>
      <x:c r="F6" s="73"/>
      <x:c r="G6" s="77"/>
      <x:c r="H6" s="77"/>
      <x:c r="I6" s="77"/>
      <x:c r="J6" s="73"/>
      <x:c r="K6" s="73"/>
      <x:c r="L6" s="73"/>
      <x:c r="M6" s="73"/>
    </x:row>
    <x:row r="7">
      <x:c r="A7" s="73" t="str">
        <x:v>C06</x:v>
      </x:c>
      <x:c r="B7" s="73" t="str">
        <x:v>pendiente</x:v>
      </x:c>
      <x:c r="C7" s="75"/>
      <x:c r="D7" s="73"/>
      <x:c r="E7" s="73"/>
      <x:c r="F7" s="73"/>
      <x:c r="G7" s="77"/>
      <x:c r="H7" s="77"/>
      <x:c r="I7" s="77"/>
      <x:c r="J7" s="73"/>
      <x:c r="K7" s="73"/>
      <x:c r="L7" s="73"/>
      <x:c r="M7" s="73"/>
    </x:row>
    <x:row r="8">
      <x:c r="A8" s="73" t="str">
        <x:v>C07</x:v>
      </x:c>
      <x:c r="B8" s="73" t="str">
        <x:v>pendiente</x:v>
      </x:c>
      <x:c r="C8" s="75"/>
      <x:c r="D8" s="73"/>
      <x:c r="E8" s="73"/>
      <x:c r="F8" s="73"/>
      <x:c r="G8" s="77"/>
      <x:c r="H8" s="77"/>
      <x:c r="I8" s="77"/>
      <x:c r="J8" s="73"/>
      <x:c r="K8" s="73"/>
      <x:c r="L8" s="73"/>
      <x:c r="M8" s="73"/>
    </x:row>
    <x:row r="9">
      <x:c r="A9" s="73" t="str">
        <x:v>C08</x:v>
      </x:c>
      <x:c r="B9" s="73" t="str">
        <x:v>pendiente</x:v>
      </x:c>
      <x:c r="C9" s="75"/>
      <x:c r="D9" s="73"/>
      <x:c r="E9" s="73"/>
      <x:c r="F9" s="73"/>
      <x:c r="G9" s="77"/>
      <x:c r="H9" s="77"/>
      <x:c r="I9" s="77"/>
      <x:c r="J9" s="73"/>
      <x:c r="K9" s="73"/>
      <x:c r="L9" s="73"/>
      <x:c r="M9" s="73"/>
    </x:row>
    <x:row r="10">
      <x:c r="A10" s="73" t="str">
        <x:v>C09</x:v>
      </x:c>
      <x:c r="B10" s="73" t="str">
        <x:v>pendiente</x:v>
      </x:c>
      <x:c r="C10" s="75"/>
      <x:c r="D10" s="73"/>
      <x:c r="E10" s="73"/>
      <x:c r="F10" s="73"/>
      <x:c r="G10" s="77"/>
      <x:c r="H10" s="77"/>
      <x:c r="I10" s="77"/>
      <x:c r="J10" s="73"/>
      <x:c r="K10" s="73"/>
      <x:c r="L10" s="73"/>
      <x:c r="M10" s="73"/>
    </x:row>
    <x:row r="11">
      <x:c r="A11" s="73" t="str">
        <x:v>C10</x:v>
      </x:c>
      <x:c r="B11" s="73" t="str">
        <x:v>pendiente</x:v>
      </x:c>
      <x:c r="C11" s="75"/>
      <x:c r="D11" s="73"/>
      <x:c r="E11" s="73"/>
      <x:c r="F11" s="73"/>
      <x:c r="G11" s="77"/>
      <x:c r="H11" s="77"/>
      <x:c r="I11" s="77"/>
      <x:c r="J11" s="73"/>
      <x:c r="K11" s="73"/>
      <x:c r="L11" s="73"/>
      <x:c r="M11" s="73"/>
    </x:row>
    <x:row r="12">
      <x:c r="A12" s="73" t="str">
        <x:v>C11</x:v>
      </x:c>
      <x:c r="B12" s="73" t="str">
        <x:v>pendiente</x:v>
      </x:c>
      <x:c r="C12" s="75"/>
      <x:c r="D12" s="73"/>
      <x:c r="E12" s="73"/>
      <x:c r="F12" s="73"/>
      <x:c r="G12" s="77"/>
      <x:c r="H12" s="77"/>
      <x:c r="I12" s="77"/>
      <x:c r="J12" s="73"/>
      <x:c r="K12" s="73"/>
      <x:c r="L12" s="73"/>
      <x:c r="M12" s="73"/>
    </x:row>
    <x:row r="13">
      <x:c r="A13" s="73" t="str">
        <x:v>C12</x:v>
      </x:c>
      <x:c r="B13" s="73" t="str">
        <x:v>pendiente</x:v>
      </x:c>
      <x:c r="C13" s="75"/>
      <x:c r="D13" s="73"/>
      <x:c r="E13" s="73"/>
      <x:c r="F13" s="73"/>
      <x:c r="G13" s="77"/>
      <x:c r="H13" s="77"/>
      <x:c r="I13" s="77"/>
      <x:c r="J13" s="73"/>
      <x:c r="K13" s="73"/>
      <x:c r="L13" s="73"/>
      <x:c r="M13" s="73"/>
    </x:row>
    <x:row r="14">
      <x:c r="A14" s="73" t="str">
        <x:v>C13</x:v>
      </x:c>
      <x:c r="B14" s="73" t="str">
        <x:v>pendiente</x:v>
      </x:c>
      <x:c r="C14" s="75"/>
      <x:c r="D14" s="73"/>
      <x:c r="E14" s="73"/>
      <x:c r="F14" s="73"/>
      <x:c r="G14" s="77"/>
      <x:c r="H14" s="77"/>
      <x:c r="I14" s="77"/>
      <x:c r="J14" s="73"/>
      <x:c r="K14" s="73"/>
      <x:c r="L14" s="73"/>
      <x:c r="M14" s="73"/>
    </x:row>
    <x:row r="15">
      <x:c r="A15" s="73" t="str">
        <x:v>C14</x:v>
      </x:c>
      <x:c r="B15" s="73" t="str">
        <x:v>pendiente</x:v>
      </x:c>
      <x:c r="C15" s="75"/>
      <x:c r="D15" s="73"/>
      <x:c r="E15" s="73"/>
      <x:c r="F15" s="73"/>
      <x:c r="G15" s="77"/>
      <x:c r="H15" s="77"/>
      <x:c r="I15" s="77"/>
      <x:c r="J15" s="73"/>
      <x:c r="K15" s="73"/>
      <x:c r="L15" s="73"/>
      <x:c r="M15" s="73"/>
    </x:row>
    <x:row r="16">
      <x:c r="A16" s="73" t="str">
        <x:v>C15</x:v>
      </x:c>
      <x:c r="B16" s="73" t="str">
        <x:v>pendiente</x:v>
      </x:c>
      <x:c r="C16" s="75"/>
      <x:c r="D16" s="73"/>
      <x:c r="E16" s="73"/>
      <x:c r="F16" s="73"/>
      <x:c r="G16" s="77"/>
      <x:c r="H16" s="77"/>
      <x:c r="I16" s="77"/>
      <x:c r="J16" s="73"/>
      <x:c r="K16" s="73"/>
      <x:c r="L16" s="73"/>
      <x:c r="M16" s="73"/>
    </x:row>
    <x:row r="17">
      <x:c r="A17" s="73" t="str">
        <x:v>C16</x:v>
      </x:c>
      <x:c r="B17" s="73" t="str">
        <x:v>pendiente</x:v>
      </x:c>
      <x:c r="C17" s="75"/>
      <x:c r="D17" s="73"/>
      <x:c r="E17" s="73"/>
      <x:c r="F17" s="73"/>
      <x:c r="G17" s="77"/>
      <x:c r="H17" s="77"/>
      <x:c r="I17" s="77"/>
      <x:c r="J17" s="73"/>
      <x:c r="K17" s="73"/>
      <x:c r="L17" s="73"/>
      <x:c r="M17" s="73"/>
    </x:row>
    <x:row r="18">
      <x:c r="A18" s="73" t="str">
        <x:v>C17</x:v>
      </x:c>
      <x:c r="B18" s="73" t="str">
        <x:v>pendiente</x:v>
      </x:c>
      <x:c r="C18" s="75"/>
      <x:c r="D18" s="73"/>
      <x:c r="E18" s="73"/>
      <x:c r="F18" s="73"/>
      <x:c r="G18" s="77"/>
      <x:c r="H18" s="77"/>
      <x:c r="I18" s="77"/>
      <x:c r="J18" s="73"/>
      <x:c r="K18" s="73"/>
      <x:c r="L18" s="73"/>
      <x:c r="M18" s="73"/>
    </x:row>
    <x:row r="19">
      <x:c r="A19" s="73" t="str">
        <x:v>C18</x:v>
      </x:c>
      <x:c r="B19" s="73" t="str">
        <x:v>pendiente</x:v>
      </x:c>
      <x:c r="C19" s="75"/>
      <x:c r="D19" s="73"/>
      <x:c r="E19" s="73"/>
      <x:c r="F19" s="73"/>
      <x:c r="G19" s="77"/>
      <x:c r="H19" s="77"/>
      <x:c r="I19" s="77"/>
      <x:c r="J19" s="73"/>
      <x:c r="K19" s="73"/>
      <x:c r="L19" s="73"/>
      <x:c r="M19" s="73"/>
    </x:row>
    <x:row r="20">
      <x:c r="A20" s="73" t="str">
        <x:v>C19</x:v>
      </x:c>
      <x:c r="B20" s="73" t="str">
        <x:v>pendiente</x:v>
      </x:c>
      <x:c r="C20" s="75"/>
      <x:c r="D20" s="73"/>
      <x:c r="E20" s="73"/>
      <x:c r="F20" s="73"/>
      <x:c r="G20" s="77"/>
      <x:c r="H20" s="77"/>
      <x:c r="I20" s="77"/>
      <x:c r="J20" s="73"/>
      <x:c r="K20" s="73"/>
      <x:c r="L20" s="73"/>
      <x:c r="M20" s="73"/>
    </x:row>
    <x:row r="21">
      <x:c r="A21" s="73" t="str">
        <x:v>C20</x:v>
      </x:c>
      <x:c r="B21" s="73" t="str">
        <x:v>pendiente</x:v>
      </x:c>
      <x:c r="C21" s="75"/>
      <x:c r="D21" s="73"/>
      <x:c r="E21" s="73"/>
      <x:c r="F21" s="73"/>
      <x:c r="G21" s="77"/>
      <x:c r="H21" s="77"/>
      <x:c r="I21" s="77"/>
      <x:c r="J21" s="73"/>
      <x:c r="K21" s="73"/>
      <x:c r="L21" s="73"/>
      <x:c r="M21" s="73"/>
    </x:row>
    <x:row r="22">
      <x:c r="A22" s="73" t="str">
        <x:v>C21</x:v>
      </x:c>
      <x:c r="B22" s="73" t="str">
        <x:v>pendiente</x:v>
      </x:c>
      <x:c r="C22" s="75"/>
      <x:c r="D22" s="73"/>
      <x:c r="E22" s="73"/>
      <x:c r="F22" s="73"/>
      <x:c r="G22" s="77"/>
      <x:c r="H22" s="77"/>
      <x:c r="I22" s="77"/>
      <x:c r="J22" s="73"/>
      <x:c r="K22" s="73"/>
      <x:c r="L22" s="73"/>
      <x:c r="M22" s="73"/>
    </x:row>
    <x:row r="23">
      <x:c r="A23" s="73" t="str">
        <x:v>C22</x:v>
      </x:c>
      <x:c r="B23" s="73" t="str">
        <x:v>pendiente</x:v>
      </x:c>
      <x:c r="C23" s="75"/>
      <x:c r="D23" s="73"/>
      <x:c r="E23" s="73"/>
      <x:c r="F23" s="73"/>
      <x:c r="G23" s="77"/>
      <x:c r="H23" s="77"/>
      <x:c r="I23" s="77"/>
      <x:c r="J23" s="73"/>
      <x:c r="K23" s="73"/>
      <x:c r="L23" s="73"/>
      <x:c r="M23" s="73"/>
    </x:row>
    <x:row r="24">
      <x:c r="A24" s="73" t="str">
        <x:v>C23</x:v>
      </x:c>
      <x:c r="B24" s="73" t="str">
        <x:v>pendiente</x:v>
      </x:c>
      <x:c r="C24" s="75"/>
      <x:c r="D24" s="73"/>
      <x:c r="E24" s="73"/>
      <x:c r="F24" s="73"/>
      <x:c r="G24" s="77"/>
      <x:c r="H24" s="77"/>
      <x:c r="I24" s="77"/>
      <x:c r="J24" s="73"/>
      <x:c r="K24" s="73"/>
      <x:c r="L24" s="73"/>
      <x:c r="M24" s="73"/>
    </x:row>
    <x:row r="25">
      <x:c r="A25" s="73" t="str">
        <x:v>C24</x:v>
      </x:c>
      <x:c r="B25" s="73" t="str">
        <x:v>pendiente</x:v>
      </x:c>
      <x:c r="C25" s="75"/>
      <x:c r="D25" s="73"/>
      <x:c r="E25" s="73"/>
      <x:c r="F25" s="73"/>
      <x:c r="G25" s="77"/>
      <x:c r="H25" s="77"/>
      <x:c r="I25" s="77"/>
      <x:c r="J25" s="73"/>
      <x:c r="K25" s="73"/>
      <x:c r="L25" s="73"/>
      <x:c r="M25" s="73"/>
    </x:row>
    <x:row r="26">
      <x:c r="A26" s="73" t="str">
        <x:v>C25</x:v>
      </x:c>
      <x:c r="B26" s="73" t="str">
        <x:v>pendiente</x:v>
      </x:c>
      <x:c r="C26" s="75"/>
      <x:c r="D26" s="73"/>
      <x:c r="E26" s="73"/>
      <x:c r="F26" s="73"/>
      <x:c r="G26" s="77"/>
      <x:c r="H26" s="77"/>
      <x:c r="I26" s="77"/>
      <x:c r="J26" s="73"/>
      <x:c r="K26" s="73"/>
      <x:c r="L26" s="73"/>
      <x:c r="M26" s="73"/>
    </x:row>
    <x:row r="27">
      <x:c r="A27" s="73" t="str">
        <x:v>C26</x:v>
      </x:c>
      <x:c r="B27" s="73" t="str">
        <x:v>pendiente</x:v>
      </x:c>
      <x:c r="C27" s="75"/>
      <x:c r="D27" s="73"/>
      <x:c r="E27" s="73"/>
      <x:c r="F27" s="73"/>
      <x:c r="G27" s="77"/>
      <x:c r="H27" s="77"/>
      <x:c r="I27" s="77"/>
      <x:c r="J27" s="73"/>
      <x:c r="K27" s="73"/>
      <x:c r="L27" s="73"/>
      <x:c r="M27" s="73"/>
    </x:row>
    <x:row r="28">
      <x:c r="A28" s="73" t="str">
        <x:v>C27</x:v>
      </x:c>
      <x:c r="B28" s="73" t="str">
        <x:v>pendiente</x:v>
      </x:c>
      <x:c r="C28" s="75"/>
      <x:c r="D28" s="73"/>
      <x:c r="E28" s="73"/>
      <x:c r="F28" s="73"/>
      <x:c r="G28" s="77"/>
      <x:c r="H28" s="77"/>
      <x:c r="I28" s="77"/>
      <x:c r="J28" s="73"/>
      <x:c r="K28" s="73"/>
      <x:c r="L28" s="73"/>
      <x:c r="M28" s="73"/>
    </x:row>
    <x:row r="29">
      <x:c r="A29" s="73" t="str">
        <x:v>C28</x:v>
      </x:c>
      <x:c r="B29" s="73" t="str">
        <x:v>pendiente</x:v>
      </x:c>
      <x:c r="C29" s="75"/>
      <x:c r="D29" s="73"/>
      <x:c r="E29" s="73"/>
      <x:c r="F29" s="73"/>
      <x:c r="G29" s="77"/>
      <x:c r="H29" s="77"/>
      <x:c r="I29" s="77"/>
      <x:c r="J29" s="73"/>
      <x:c r="K29" s="73"/>
      <x:c r="L29" s="73"/>
      <x:c r="M29" s="73"/>
    </x:row>
    <x:row r="30">
      <x:c r="A30" s="73" t="str">
        <x:v>C29</x:v>
      </x:c>
      <x:c r="B30" s="73" t="str">
        <x:v>pendiente</x:v>
      </x:c>
      <x:c r="C30" s="75"/>
      <x:c r="D30" s="73"/>
      <x:c r="E30" s="73"/>
      <x:c r="F30" s="73"/>
      <x:c r="G30" s="77"/>
      <x:c r="H30" s="77"/>
      <x:c r="I30" s="77"/>
      <x:c r="J30" s="73"/>
      <x:c r="K30" s="73"/>
      <x:c r="L30" s="73"/>
      <x:c r="M30" s="73"/>
    </x:row>
    <x:row r="31">
      <x:c r="A31" s="73" t="str">
        <x:v>C30</x:v>
      </x:c>
      <x:c r="B31" s="73" t="str">
        <x:v>pendiente</x:v>
      </x:c>
      <x:c r="C31" s="75"/>
      <x:c r="D31" s="73"/>
      <x:c r="E31" s="73"/>
      <x:c r="F31" s="73"/>
      <x:c r="G31" s="77"/>
      <x:c r="H31" s="77"/>
      <x:c r="I31" s="77"/>
      <x:c r="J31" s="73"/>
      <x:c r="K31" s="73"/>
      <x:c r="L31" s="73"/>
      <x:c r="M31" s="73"/>
    </x:row>
  </x:sheetData>
  <x:conditionalFormatting sqref="B2:B31">
    <x:cfRule type="containsText" dxfId="0" priority="1" operator="containsText" text="observado"/>
    <x:cfRule type="containsText" dxfId="1" priority="2" operator="containsText" text="desconocido"/>
  </x:conditionalFormatting>
  <x:dataValidations count="4">
    <x:dataValidation type="list" sqref="B2:B31">
      <x:formula1>"pendiente,observado,inferido,desconocido"</x:formula1>
    </x:dataValidation>
    <x:dataValidation type="list" sqref="E2:E31">
      <x:formula1>"si,no,desconocido"</x:formula1>
    </x:dataValidation>
    <x:dataValidation type="list" sqref="F2:F31">
      <x:formula1>"Google,Facebook Marketplace,Directorio local,Comercia HN,WhatsApp/contacto directo,La Pulperia"</x:formula1>
    </x:dataValidation>
    <x:dataValidation type="list" sqref="K2:K31">
      <x:formula1>"respuesta_util,alternativa_inferior,abandono,bloqueado,completado,sin_necesidad,desconocido"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8" hidden="0" customWidth="1"/>
    <x:col min="4" max="4" width="18" hidden="0" customWidth="1"/>
    <x:col min="5" max="5" width="13" hidden="0" customWidth="1"/>
    <x:col min="6" max="6" width="30" hidden="0" customWidth="1"/>
    <x:col min="7" max="7" width="26" hidden="0" customWidth="1"/>
    <x:col min="8" max="8" width="11" hidden="0" customWidth="1"/>
    <x:col min="9" max="9" width="10" hidden="0" customWidth="1"/>
    <x:col min="10" max="10" width="22" hidden="0" customWidth="1"/>
    <x:col min="11" max="11" width="24" hidden="0" customWidth="1"/>
    <x:col min="12" max="12" width="22" hidden="0" customWidth="1"/>
    <x:col min="13" max="13" width="32" hidden="0" customWidth="1"/>
    <x:col min="14" max="14" width="32" hidden="0" customWidth="1"/>
  </x:cols>
  <x:sheetData>
    <x:row r="1" ht="42" customHeight="1">
      <x:c r="A1" s="31" t="str">
        <x:v>codigo_registro</x:v>
      </x:c>
      <x:c r="B1" s="32" t="str">
        <x:v>participante_codigo</x:v>
      </x:c>
      <x:c r="C1" s="32" t="str">
        <x:v>dia</x:v>
      </x:c>
      <x:c r="D1" s="32" t="str">
        <x:v>estado_evidencia</x:v>
      </x:c>
      <x:c r="E1" s="32" t="str">
        <x:v>fecha</x:v>
      </x:c>
      <x:c r="F1" s="32" t="str">
        <x:v>consulta_normalizada</x:v>
      </x:c>
      <x:c r="G1" s="32" t="str">
        <x:v>canal_inicial</x:v>
      </x:c>
      <x:c r="H1" s="32" t="str">
        <x:v>contactos</x:v>
      </x:c>
      <x:c r="I1" s="32" t="str">
        <x:v>pasos</x:v>
      </x:c>
      <x:c r="J1" s="32" t="str">
        <x:v>segundos_hasta_respuesta</x:v>
      </x:c>
      <x:c r="K1" s="32" t="str">
        <x:v>dato_faltante</x:v>
      </x:c>
      <x:c r="L1" s="32" t="str">
        <x:v>desenlace</x:v>
      </x:c>
      <x:c r="M1" s="32" t="str">
        <x:v>evidencia_para_decidir</x:v>
      </x:c>
      <x:c r="N1" s="33" t="str">
        <x:v>nota_sin_pii</x:v>
      </x:c>
    </x:row>
    <x:row r="2">
      <x:c r="A2" s="72" t="str">
        <x:v>D01-1</x:v>
      </x:c>
      <x:c r="B2" s="72" t="str">
        <x:v>D01</x:v>
      </x:c>
      <x:c r="C2" s="76" t="n">
        <x:v>1</x:v>
      </x:c>
      <x:c r="D2" s="72" t="str">
        <x:v>pendiente</x:v>
      </x:c>
      <x:c r="E2" s="74"/>
      <x:c r="F2" s="72"/>
      <x:c r="G2" s="72"/>
      <x:c r="H2" s="76"/>
      <x:c r="I2" s="76"/>
      <x:c r="J2" s="76"/>
      <x:c r="K2" s="72"/>
      <x:c r="L2" s="72"/>
      <x:c r="M2" s="72"/>
      <x:c r="N2" s="72"/>
    </x:row>
    <x:row r="3">
      <x:c r="A3" s="73" t="str">
        <x:v>D01-2</x:v>
      </x:c>
      <x:c r="B3" s="73" t="str">
        <x:v>D01</x:v>
      </x:c>
      <x:c r="C3" s="77" t="n">
        <x:v>2</x:v>
      </x:c>
      <x:c r="D3" s="73" t="str">
        <x:v>pendiente</x:v>
      </x:c>
      <x:c r="E3" s="75"/>
      <x:c r="F3" s="73"/>
      <x:c r="G3" s="73"/>
      <x:c r="H3" s="77"/>
      <x:c r="I3" s="77"/>
      <x:c r="J3" s="77"/>
      <x:c r="K3" s="73"/>
      <x:c r="L3" s="73"/>
      <x:c r="M3" s="73"/>
      <x:c r="N3" s="73"/>
    </x:row>
    <x:row r="4">
      <x:c r="A4" s="73" t="str">
        <x:v>D01-3</x:v>
      </x:c>
      <x:c r="B4" s="73" t="str">
        <x:v>D01</x:v>
      </x:c>
      <x:c r="C4" s="77" t="n">
        <x:v>3</x:v>
      </x:c>
      <x:c r="D4" s="73" t="str">
        <x:v>pendiente</x:v>
      </x:c>
      <x:c r="E4" s="75"/>
      <x:c r="F4" s="73"/>
      <x:c r="G4" s="73"/>
      <x:c r="H4" s="77"/>
      <x:c r="I4" s="77"/>
      <x:c r="J4" s="77"/>
      <x:c r="K4" s="73"/>
      <x:c r="L4" s="73"/>
      <x:c r="M4" s="73"/>
      <x:c r="N4" s="73"/>
    </x:row>
    <x:row r="5">
      <x:c r="A5" s="73" t="str">
        <x:v>D01-4</x:v>
      </x:c>
      <x:c r="B5" s="73" t="str">
        <x:v>D01</x:v>
      </x:c>
      <x:c r="C5" s="77" t="n">
        <x:v>4</x:v>
      </x:c>
      <x:c r="D5" s="73" t="str">
        <x:v>pendiente</x:v>
      </x:c>
      <x:c r="E5" s="75"/>
      <x:c r="F5" s="73"/>
      <x:c r="G5" s="73"/>
      <x:c r="H5" s="77"/>
      <x:c r="I5" s="77"/>
      <x:c r="J5" s="77"/>
      <x:c r="K5" s="73"/>
      <x:c r="L5" s="73"/>
      <x:c r="M5" s="73"/>
      <x:c r="N5" s="73"/>
    </x:row>
    <x:row r="6">
      <x:c r="A6" s="73" t="str">
        <x:v>D01-5</x:v>
      </x:c>
      <x:c r="B6" s="73" t="str">
        <x:v>D01</x:v>
      </x:c>
      <x:c r="C6" s="77" t="n">
        <x:v>5</x:v>
      </x:c>
      <x:c r="D6" s="73" t="str">
        <x:v>pendiente</x:v>
      </x:c>
      <x:c r="E6" s="75"/>
      <x:c r="F6" s="73"/>
      <x:c r="G6" s="73"/>
      <x:c r="H6" s="77"/>
      <x:c r="I6" s="77"/>
      <x:c r="J6" s="77"/>
      <x:c r="K6" s="73"/>
      <x:c r="L6" s="73"/>
      <x:c r="M6" s="73"/>
      <x:c r="N6" s="73"/>
    </x:row>
    <x:row r="7">
      <x:c r="A7" s="73" t="str">
        <x:v>D02-1</x:v>
      </x:c>
      <x:c r="B7" s="73" t="str">
        <x:v>D02</x:v>
      </x:c>
      <x:c r="C7" s="77" t="n">
        <x:v>1</x:v>
      </x:c>
      <x:c r="D7" s="73" t="str">
        <x:v>pendiente</x:v>
      </x:c>
      <x:c r="E7" s="75"/>
      <x:c r="F7" s="73"/>
      <x:c r="G7" s="73"/>
      <x:c r="H7" s="77"/>
      <x:c r="I7" s="77"/>
      <x:c r="J7" s="77"/>
      <x:c r="K7" s="73"/>
      <x:c r="L7" s="73"/>
      <x:c r="M7" s="73"/>
      <x:c r="N7" s="73"/>
    </x:row>
    <x:row r="8">
      <x:c r="A8" s="73" t="str">
        <x:v>D02-2</x:v>
      </x:c>
      <x:c r="B8" s="73" t="str">
        <x:v>D02</x:v>
      </x:c>
      <x:c r="C8" s="77" t="n">
        <x:v>2</x:v>
      </x:c>
      <x:c r="D8" s="73" t="str">
        <x:v>pendiente</x:v>
      </x:c>
      <x:c r="E8" s="75"/>
      <x:c r="F8" s="73"/>
      <x:c r="G8" s="73"/>
      <x:c r="H8" s="77"/>
      <x:c r="I8" s="77"/>
      <x:c r="J8" s="77"/>
      <x:c r="K8" s="73"/>
      <x:c r="L8" s="73"/>
      <x:c r="M8" s="73"/>
      <x:c r="N8" s="73"/>
    </x:row>
    <x:row r="9">
      <x:c r="A9" s="73" t="str">
        <x:v>D02-3</x:v>
      </x:c>
      <x:c r="B9" s="73" t="str">
        <x:v>D02</x:v>
      </x:c>
      <x:c r="C9" s="77" t="n">
        <x:v>3</x:v>
      </x:c>
      <x:c r="D9" s="73" t="str">
        <x:v>pendiente</x:v>
      </x:c>
      <x:c r="E9" s="75"/>
      <x:c r="F9" s="73"/>
      <x:c r="G9" s="73"/>
      <x:c r="H9" s="77"/>
      <x:c r="I9" s="77"/>
      <x:c r="J9" s="77"/>
      <x:c r="K9" s="73"/>
      <x:c r="L9" s="73"/>
      <x:c r="M9" s="73"/>
      <x:c r="N9" s="73"/>
    </x:row>
    <x:row r="10">
      <x:c r="A10" s="73" t="str">
        <x:v>D02-4</x:v>
      </x:c>
      <x:c r="B10" s="73" t="str">
        <x:v>D02</x:v>
      </x:c>
      <x:c r="C10" s="77" t="n">
        <x:v>4</x:v>
      </x:c>
      <x:c r="D10" s="73" t="str">
        <x:v>pendiente</x:v>
      </x:c>
      <x:c r="E10" s="75"/>
      <x:c r="F10" s="73"/>
      <x:c r="G10" s="73"/>
      <x:c r="H10" s="77"/>
      <x:c r="I10" s="77"/>
      <x:c r="J10" s="77"/>
      <x:c r="K10" s="73"/>
      <x:c r="L10" s="73"/>
      <x:c r="M10" s="73"/>
      <x:c r="N10" s="73"/>
    </x:row>
    <x:row r="11">
      <x:c r="A11" s="73" t="str">
        <x:v>D02-5</x:v>
      </x:c>
      <x:c r="B11" s="73" t="str">
        <x:v>D02</x:v>
      </x:c>
      <x:c r="C11" s="77" t="n">
        <x:v>5</x:v>
      </x:c>
      <x:c r="D11" s="73" t="str">
        <x:v>pendiente</x:v>
      </x:c>
      <x:c r="E11" s="75"/>
      <x:c r="F11" s="73"/>
      <x:c r="G11" s="73"/>
      <x:c r="H11" s="77"/>
      <x:c r="I11" s="77"/>
      <x:c r="J11" s="77"/>
      <x:c r="K11" s="73"/>
      <x:c r="L11" s="73"/>
      <x:c r="M11" s="73"/>
      <x:c r="N11" s="73"/>
    </x:row>
    <x:row r="12">
      <x:c r="A12" s="73" t="str">
        <x:v>D03-1</x:v>
      </x:c>
      <x:c r="B12" s="73" t="str">
        <x:v>D03</x:v>
      </x:c>
      <x:c r="C12" s="77" t="n">
        <x:v>1</x:v>
      </x:c>
      <x:c r="D12" s="73" t="str">
        <x:v>pendiente</x:v>
      </x:c>
      <x:c r="E12" s="75"/>
      <x:c r="F12" s="73"/>
      <x:c r="G12" s="73"/>
      <x:c r="H12" s="77"/>
      <x:c r="I12" s="77"/>
      <x:c r="J12" s="77"/>
      <x:c r="K12" s="73"/>
      <x:c r="L12" s="73"/>
      <x:c r="M12" s="73"/>
      <x:c r="N12" s="73"/>
    </x:row>
    <x:row r="13">
      <x:c r="A13" s="73" t="str">
        <x:v>D03-2</x:v>
      </x:c>
      <x:c r="B13" s="73" t="str">
        <x:v>D03</x:v>
      </x:c>
      <x:c r="C13" s="77" t="n">
        <x:v>2</x:v>
      </x:c>
      <x:c r="D13" s="73" t="str">
        <x:v>pendiente</x:v>
      </x:c>
      <x:c r="E13" s="75"/>
      <x:c r="F13" s="73"/>
      <x:c r="G13" s="73"/>
      <x:c r="H13" s="77"/>
      <x:c r="I13" s="77"/>
      <x:c r="J13" s="77"/>
      <x:c r="K13" s="73"/>
      <x:c r="L13" s="73"/>
      <x:c r="M13" s="73"/>
      <x:c r="N13" s="73"/>
    </x:row>
    <x:row r="14">
      <x:c r="A14" s="73" t="str">
        <x:v>D03-3</x:v>
      </x:c>
      <x:c r="B14" s="73" t="str">
        <x:v>D03</x:v>
      </x:c>
      <x:c r="C14" s="77" t="n">
        <x:v>3</x:v>
      </x:c>
      <x:c r="D14" s="73" t="str">
        <x:v>pendiente</x:v>
      </x:c>
      <x:c r="E14" s="75"/>
      <x:c r="F14" s="73"/>
      <x:c r="G14" s="73"/>
      <x:c r="H14" s="77"/>
      <x:c r="I14" s="77"/>
      <x:c r="J14" s="77"/>
      <x:c r="K14" s="73"/>
      <x:c r="L14" s="73"/>
      <x:c r="M14" s="73"/>
      <x:c r="N14" s="73"/>
    </x:row>
    <x:row r="15">
      <x:c r="A15" s="73" t="str">
        <x:v>D03-4</x:v>
      </x:c>
      <x:c r="B15" s="73" t="str">
        <x:v>D03</x:v>
      </x:c>
      <x:c r="C15" s="77" t="n">
        <x:v>4</x:v>
      </x:c>
      <x:c r="D15" s="73" t="str">
        <x:v>pendiente</x:v>
      </x:c>
      <x:c r="E15" s="75"/>
      <x:c r="F15" s="73"/>
      <x:c r="G15" s="73"/>
      <x:c r="H15" s="77"/>
      <x:c r="I15" s="77"/>
      <x:c r="J15" s="77"/>
      <x:c r="K15" s="73"/>
      <x:c r="L15" s="73"/>
      <x:c r="M15" s="73"/>
      <x:c r="N15" s="73"/>
    </x:row>
    <x:row r="16">
      <x:c r="A16" s="73" t="str">
        <x:v>D03-5</x:v>
      </x:c>
      <x:c r="B16" s="73" t="str">
        <x:v>D03</x:v>
      </x:c>
      <x:c r="C16" s="77" t="n">
        <x:v>5</x:v>
      </x:c>
      <x:c r="D16" s="73" t="str">
        <x:v>pendiente</x:v>
      </x:c>
      <x:c r="E16" s="75"/>
      <x:c r="F16" s="73"/>
      <x:c r="G16" s="73"/>
      <x:c r="H16" s="77"/>
      <x:c r="I16" s="77"/>
      <x:c r="J16" s="77"/>
      <x:c r="K16" s="73"/>
      <x:c r="L16" s="73"/>
      <x:c r="M16" s="73"/>
      <x:c r="N16" s="73"/>
    </x:row>
    <x:row r="17">
      <x:c r="A17" s="73" t="str">
        <x:v>D04-1</x:v>
      </x:c>
      <x:c r="B17" s="73" t="str">
        <x:v>D04</x:v>
      </x:c>
      <x:c r="C17" s="77" t="n">
        <x:v>1</x:v>
      </x:c>
      <x:c r="D17" s="73" t="str">
        <x:v>pendiente</x:v>
      </x:c>
      <x:c r="E17" s="75"/>
      <x:c r="F17" s="73"/>
      <x:c r="G17" s="73"/>
      <x:c r="H17" s="77"/>
      <x:c r="I17" s="77"/>
      <x:c r="J17" s="77"/>
      <x:c r="K17" s="73"/>
      <x:c r="L17" s="73"/>
      <x:c r="M17" s="73"/>
      <x:c r="N17" s="73"/>
    </x:row>
    <x:row r="18">
      <x:c r="A18" s="73" t="str">
        <x:v>D04-2</x:v>
      </x:c>
      <x:c r="B18" s="73" t="str">
        <x:v>D04</x:v>
      </x:c>
      <x:c r="C18" s="77" t="n">
        <x:v>2</x:v>
      </x:c>
      <x:c r="D18" s="73" t="str">
        <x:v>pendiente</x:v>
      </x:c>
      <x:c r="E18" s="75"/>
      <x:c r="F18" s="73"/>
      <x:c r="G18" s="73"/>
      <x:c r="H18" s="77"/>
      <x:c r="I18" s="77"/>
      <x:c r="J18" s="77"/>
      <x:c r="K18" s="73"/>
      <x:c r="L18" s="73"/>
      <x:c r="M18" s="73"/>
      <x:c r="N18" s="73"/>
    </x:row>
    <x:row r="19">
      <x:c r="A19" s="73" t="str">
        <x:v>D04-3</x:v>
      </x:c>
      <x:c r="B19" s="73" t="str">
        <x:v>D04</x:v>
      </x:c>
      <x:c r="C19" s="77" t="n">
        <x:v>3</x:v>
      </x:c>
      <x:c r="D19" s="73" t="str">
        <x:v>pendiente</x:v>
      </x:c>
      <x:c r="E19" s="75"/>
      <x:c r="F19" s="73"/>
      <x:c r="G19" s="73"/>
      <x:c r="H19" s="77"/>
      <x:c r="I19" s="77"/>
      <x:c r="J19" s="77"/>
      <x:c r="K19" s="73"/>
      <x:c r="L19" s="73"/>
      <x:c r="M19" s="73"/>
      <x:c r="N19" s="73"/>
    </x:row>
    <x:row r="20">
      <x:c r="A20" s="73" t="str">
        <x:v>D04-4</x:v>
      </x:c>
      <x:c r="B20" s="73" t="str">
        <x:v>D04</x:v>
      </x:c>
      <x:c r="C20" s="77" t="n">
        <x:v>4</x:v>
      </x:c>
      <x:c r="D20" s="73" t="str">
        <x:v>pendiente</x:v>
      </x:c>
      <x:c r="E20" s="75"/>
      <x:c r="F20" s="73"/>
      <x:c r="G20" s="73"/>
      <x:c r="H20" s="77"/>
      <x:c r="I20" s="77"/>
      <x:c r="J20" s="77"/>
      <x:c r="K20" s="73"/>
      <x:c r="L20" s="73"/>
      <x:c r="M20" s="73"/>
      <x:c r="N20" s="73"/>
    </x:row>
    <x:row r="21">
      <x:c r="A21" s="73" t="str">
        <x:v>D04-5</x:v>
      </x:c>
      <x:c r="B21" s="73" t="str">
        <x:v>D04</x:v>
      </x:c>
      <x:c r="C21" s="77" t="n">
        <x:v>5</x:v>
      </x:c>
      <x:c r="D21" s="73" t="str">
        <x:v>pendiente</x:v>
      </x:c>
      <x:c r="E21" s="75"/>
      <x:c r="F21" s="73"/>
      <x:c r="G21" s="73"/>
      <x:c r="H21" s="77"/>
      <x:c r="I21" s="77"/>
      <x:c r="J21" s="77"/>
      <x:c r="K21" s="73"/>
      <x:c r="L21" s="73"/>
      <x:c r="M21" s="73"/>
      <x:c r="N21" s="73"/>
    </x:row>
    <x:row r="22">
      <x:c r="A22" s="73" t="str">
        <x:v>D05-1</x:v>
      </x:c>
      <x:c r="B22" s="73" t="str">
        <x:v>D05</x:v>
      </x:c>
      <x:c r="C22" s="77" t="n">
        <x:v>1</x:v>
      </x:c>
      <x:c r="D22" s="73" t="str">
        <x:v>pendiente</x:v>
      </x:c>
      <x:c r="E22" s="75"/>
      <x:c r="F22" s="73"/>
      <x:c r="G22" s="73"/>
      <x:c r="H22" s="77"/>
      <x:c r="I22" s="77"/>
      <x:c r="J22" s="77"/>
      <x:c r="K22" s="73"/>
      <x:c r="L22" s="73"/>
      <x:c r="M22" s="73"/>
      <x:c r="N22" s="73"/>
    </x:row>
    <x:row r="23">
      <x:c r="A23" s="73" t="str">
        <x:v>D05-2</x:v>
      </x:c>
      <x:c r="B23" s="73" t="str">
        <x:v>D05</x:v>
      </x:c>
      <x:c r="C23" s="77" t="n">
        <x:v>2</x:v>
      </x:c>
      <x:c r="D23" s="73" t="str">
        <x:v>pendiente</x:v>
      </x:c>
      <x:c r="E23" s="75"/>
      <x:c r="F23" s="73"/>
      <x:c r="G23" s="73"/>
      <x:c r="H23" s="77"/>
      <x:c r="I23" s="77"/>
      <x:c r="J23" s="77"/>
      <x:c r="K23" s="73"/>
      <x:c r="L23" s="73"/>
      <x:c r="M23" s="73"/>
      <x:c r="N23" s="73"/>
    </x:row>
    <x:row r="24">
      <x:c r="A24" s="73" t="str">
        <x:v>D05-3</x:v>
      </x:c>
      <x:c r="B24" s="73" t="str">
        <x:v>D05</x:v>
      </x:c>
      <x:c r="C24" s="77" t="n">
        <x:v>3</x:v>
      </x:c>
      <x:c r="D24" s="73" t="str">
        <x:v>pendiente</x:v>
      </x:c>
      <x:c r="E24" s="75"/>
      <x:c r="F24" s="73"/>
      <x:c r="G24" s="73"/>
      <x:c r="H24" s="77"/>
      <x:c r="I24" s="77"/>
      <x:c r="J24" s="77"/>
      <x:c r="K24" s="73"/>
      <x:c r="L24" s="73"/>
      <x:c r="M24" s="73"/>
      <x:c r="N24" s="73"/>
    </x:row>
    <x:row r="25">
      <x:c r="A25" s="73" t="str">
        <x:v>D05-4</x:v>
      </x:c>
      <x:c r="B25" s="73" t="str">
        <x:v>D05</x:v>
      </x:c>
      <x:c r="C25" s="77" t="n">
        <x:v>4</x:v>
      </x:c>
      <x:c r="D25" s="73" t="str">
        <x:v>pendiente</x:v>
      </x:c>
      <x:c r="E25" s="75"/>
      <x:c r="F25" s="73"/>
      <x:c r="G25" s="73"/>
      <x:c r="H25" s="77"/>
      <x:c r="I25" s="77"/>
      <x:c r="J25" s="77"/>
      <x:c r="K25" s="73"/>
      <x:c r="L25" s="73"/>
      <x:c r="M25" s="73"/>
      <x:c r="N25" s="73"/>
    </x:row>
    <x:row r="26">
      <x:c r="A26" s="73" t="str">
        <x:v>D05-5</x:v>
      </x:c>
      <x:c r="B26" s="73" t="str">
        <x:v>D05</x:v>
      </x:c>
      <x:c r="C26" s="77" t="n">
        <x:v>5</x:v>
      </x:c>
      <x:c r="D26" s="73" t="str">
        <x:v>pendiente</x:v>
      </x:c>
      <x:c r="E26" s="75"/>
      <x:c r="F26" s="73"/>
      <x:c r="G26" s="73"/>
      <x:c r="H26" s="77"/>
      <x:c r="I26" s="77"/>
      <x:c r="J26" s="77"/>
      <x:c r="K26" s="73"/>
      <x:c r="L26" s="73"/>
      <x:c r="M26" s="73"/>
      <x:c r="N26" s="73"/>
    </x:row>
    <x:row r="27">
      <x:c r="A27" s="73" t="str">
        <x:v>D06-1</x:v>
      </x:c>
      <x:c r="B27" s="73" t="str">
        <x:v>D06</x:v>
      </x:c>
      <x:c r="C27" s="77" t="n">
        <x:v>1</x:v>
      </x:c>
      <x:c r="D27" s="73" t="str">
        <x:v>pendiente</x:v>
      </x:c>
      <x:c r="E27" s="75"/>
      <x:c r="F27" s="73"/>
      <x:c r="G27" s="73"/>
      <x:c r="H27" s="77"/>
      <x:c r="I27" s="77"/>
      <x:c r="J27" s="77"/>
      <x:c r="K27" s="73"/>
      <x:c r="L27" s="73"/>
      <x:c r="M27" s="73"/>
      <x:c r="N27" s="73"/>
    </x:row>
    <x:row r="28">
      <x:c r="A28" s="73" t="str">
        <x:v>D06-2</x:v>
      </x:c>
      <x:c r="B28" s="73" t="str">
        <x:v>D06</x:v>
      </x:c>
      <x:c r="C28" s="77" t="n">
        <x:v>2</x:v>
      </x:c>
      <x:c r="D28" s="73" t="str">
        <x:v>pendiente</x:v>
      </x:c>
      <x:c r="E28" s="75"/>
      <x:c r="F28" s="73"/>
      <x:c r="G28" s="73"/>
      <x:c r="H28" s="77"/>
      <x:c r="I28" s="77"/>
      <x:c r="J28" s="77"/>
      <x:c r="K28" s="73"/>
      <x:c r="L28" s="73"/>
      <x:c r="M28" s="73"/>
      <x:c r="N28" s="73"/>
    </x:row>
    <x:row r="29">
      <x:c r="A29" s="73" t="str">
        <x:v>D06-3</x:v>
      </x:c>
      <x:c r="B29" s="73" t="str">
        <x:v>D06</x:v>
      </x:c>
      <x:c r="C29" s="77" t="n">
        <x:v>3</x:v>
      </x:c>
      <x:c r="D29" s="73" t="str">
        <x:v>pendiente</x:v>
      </x:c>
      <x:c r="E29" s="75"/>
      <x:c r="F29" s="73"/>
      <x:c r="G29" s="73"/>
      <x:c r="H29" s="77"/>
      <x:c r="I29" s="77"/>
      <x:c r="J29" s="77"/>
      <x:c r="K29" s="73"/>
      <x:c r="L29" s="73"/>
      <x:c r="M29" s="73"/>
      <x:c r="N29" s="73"/>
    </x:row>
    <x:row r="30">
      <x:c r="A30" s="73" t="str">
        <x:v>D06-4</x:v>
      </x:c>
      <x:c r="B30" s="73" t="str">
        <x:v>D06</x:v>
      </x:c>
      <x:c r="C30" s="77" t="n">
        <x:v>4</x:v>
      </x:c>
      <x:c r="D30" s="73" t="str">
        <x:v>pendiente</x:v>
      </x:c>
      <x:c r="E30" s="75"/>
      <x:c r="F30" s="73"/>
      <x:c r="G30" s="73"/>
      <x:c r="H30" s="77"/>
      <x:c r="I30" s="77"/>
      <x:c r="J30" s="77"/>
      <x:c r="K30" s="73"/>
      <x:c r="L30" s="73"/>
      <x:c r="M30" s="73"/>
      <x:c r="N30" s="73"/>
    </x:row>
    <x:row r="31">
      <x:c r="A31" s="73" t="str">
        <x:v>D06-5</x:v>
      </x:c>
      <x:c r="B31" s="73" t="str">
        <x:v>D06</x:v>
      </x:c>
      <x:c r="C31" s="77" t="n">
        <x:v>5</x:v>
      </x:c>
      <x:c r="D31" s="73" t="str">
        <x:v>pendiente</x:v>
      </x:c>
      <x:c r="E31" s="75"/>
      <x:c r="F31" s="73"/>
      <x:c r="G31" s="73"/>
      <x:c r="H31" s="77"/>
      <x:c r="I31" s="77"/>
      <x:c r="J31" s="77"/>
      <x:c r="K31" s="73"/>
      <x:c r="L31" s="73"/>
      <x:c r="M31" s="73"/>
      <x:c r="N31" s="73"/>
    </x:row>
    <x:row r="32">
      <x:c r="A32" s="73" t="str">
        <x:v>D07-1</x:v>
      </x:c>
      <x:c r="B32" s="73" t="str">
        <x:v>D07</x:v>
      </x:c>
      <x:c r="C32" s="77" t="n">
        <x:v>1</x:v>
      </x:c>
      <x:c r="D32" s="73" t="str">
        <x:v>pendiente</x:v>
      </x:c>
      <x:c r="E32" s="75"/>
      <x:c r="F32" s="73"/>
      <x:c r="G32" s="73"/>
      <x:c r="H32" s="77"/>
      <x:c r="I32" s="77"/>
      <x:c r="J32" s="77"/>
      <x:c r="K32" s="73"/>
      <x:c r="L32" s="73"/>
      <x:c r="M32" s="73"/>
      <x:c r="N32" s="73"/>
    </x:row>
    <x:row r="33">
      <x:c r="A33" s="73" t="str">
        <x:v>D07-2</x:v>
      </x:c>
      <x:c r="B33" s="73" t="str">
        <x:v>D07</x:v>
      </x:c>
      <x:c r="C33" s="77" t="n">
        <x:v>2</x:v>
      </x:c>
      <x:c r="D33" s="73" t="str">
        <x:v>pendiente</x:v>
      </x:c>
      <x:c r="E33" s="75"/>
      <x:c r="F33" s="73"/>
      <x:c r="G33" s="73"/>
      <x:c r="H33" s="77"/>
      <x:c r="I33" s="77"/>
      <x:c r="J33" s="77"/>
      <x:c r="K33" s="73"/>
      <x:c r="L33" s="73"/>
      <x:c r="M33" s="73"/>
      <x:c r="N33" s="73"/>
    </x:row>
    <x:row r="34">
      <x:c r="A34" s="73" t="str">
        <x:v>D07-3</x:v>
      </x:c>
      <x:c r="B34" s="73" t="str">
        <x:v>D07</x:v>
      </x:c>
      <x:c r="C34" s="77" t="n">
        <x:v>3</x:v>
      </x:c>
      <x:c r="D34" s="73" t="str">
        <x:v>pendiente</x:v>
      </x:c>
      <x:c r="E34" s="75"/>
      <x:c r="F34" s="73"/>
      <x:c r="G34" s="73"/>
      <x:c r="H34" s="77"/>
      <x:c r="I34" s="77"/>
      <x:c r="J34" s="77"/>
      <x:c r="K34" s="73"/>
      <x:c r="L34" s="73"/>
      <x:c r="M34" s="73"/>
      <x:c r="N34" s="73"/>
    </x:row>
    <x:row r="35">
      <x:c r="A35" s="73" t="str">
        <x:v>D07-4</x:v>
      </x:c>
      <x:c r="B35" s="73" t="str">
        <x:v>D07</x:v>
      </x:c>
      <x:c r="C35" s="77" t="n">
        <x:v>4</x:v>
      </x:c>
      <x:c r="D35" s="73" t="str">
        <x:v>pendiente</x:v>
      </x:c>
      <x:c r="E35" s="75"/>
      <x:c r="F35" s="73"/>
      <x:c r="G35" s="73"/>
      <x:c r="H35" s="77"/>
      <x:c r="I35" s="77"/>
      <x:c r="J35" s="77"/>
      <x:c r="K35" s="73"/>
      <x:c r="L35" s="73"/>
      <x:c r="M35" s="73"/>
      <x:c r="N35" s="73"/>
    </x:row>
    <x:row r="36">
      <x:c r="A36" s="73" t="str">
        <x:v>D07-5</x:v>
      </x:c>
      <x:c r="B36" s="73" t="str">
        <x:v>D07</x:v>
      </x:c>
      <x:c r="C36" s="77" t="n">
        <x:v>5</x:v>
      </x:c>
      <x:c r="D36" s="73" t="str">
        <x:v>pendiente</x:v>
      </x:c>
      <x:c r="E36" s="75"/>
      <x:c r="F36" s="73"/>
      <x:c r="G36" s="73"/>
      <x:c r="H36" s="77"/>
      <x:c r="I36" s="77"/>
      <x:c r="J36" s="77"/>
      <x:c r="K36" s="73"/>
      <x:c r="L36" s="73"/>
      <x:c r="M36" s="73"/>
      <x:c r="N36" s="73"/>
    </x:row>
    <x:row r="37">
      <x:c r="A37" s="73" t="str">
        <x:v>D08-1</x:v>
      </x:c>
      <x:c r="B37" s="73" t="str">
        <x:v>D08</x:v>
      </x:c>
      <x:c r="C37" s="77" t="n">
        <x:v>1</x:v>
      </x:c>
      <x:c r="D37" s="73" t="str">
        <x:v>pendiente</x:v>
      </x:c>
      <x:c r="E37" s="75"/>
      <x:c r="F37" s="73"/>
      <x:c r="G37" s="73"/>
      <x:c r="H37" s="77"/>
      <x:c r="I37" s="77"/>
      <x:c r="J37" s="77"/>
      <x:c r="K37" s="73"/>
      <x:c r="L37" s="73"/>
      <x:c r="M37" s="73"/>
      <x:c r="N37" s="73"/>
    </x:row>
    <x:row r="38">
      <x:c r="A38" s="73" t="str">
        <x:v>D08-2</x:v>
      </x:c>
      <x:c r="B38" s="73" t="str">
        <x:v>D08</x:v>
      </x:c>
      <x:c r="C38" s="77" t="n">
        <x:v>2</x:v>
      </x:c>
      <x:c r="D38" s="73" t="str">
        <x:v>pendiente</x:v>
      </x:c>
      <x:c r="E38" s="75"/>
      <x:c r="F38" s="73"/>
      <x:c r="G38" s="73"/>
      <x:c r="H38" s="77"/>
      <x:c r="I38" s="77"/>
      <x:c r="J38" s="77"/>
      <x:c r="K38" s="73"/>
      <x:c r="L38" s="73"/>
      <x:c r="M38" s="73"/>
      <x:c r="N38" s="73"/>
    </x:row>
    <x:row r="39">
      <x:c r="A39" s="73" t="str">
        <x:v>D08-3</x:v>
      </x:c>
      <x:c r="B39" s="73" t="str">
        <x:v>D08</x:v>
      </x:c>
      <x:c r="C39" s="77" t="n">
        <x:v>3</x:v>
      </x:c>
      <x:c r="D39" s="73" t="str">
        <x:v>pendiente</x:v>
      </x:c>
      <x:c r="E39" s="75"/>
      <x:c r="F39" s="73"/>
      <x:c r="G39" s="73"/>
      <x:c r="H39" s="77"/>
      <x:c r="I39" s="77"/>
      <x:c r="J39" s="77"/>
      <x:c r="K39" s="73"/>
      <x:c r="L39" s="73"/>
      <x:c r="M39" s="73"/>
      <x:c r="N39" s="73"/>
    </x:row>
    <x:row r="40">
      <x:c r="A40" s="73" t="str">
        <x:v>D08-4</x:v>
      </x:c>
      <x:c r="B40" s="73" t="str">
        <x:v>D08</x:v>
      </x:c>
      <x:c r="C40" s="77" t="n">
        <x:v>4</x:v>
      </x:c>
      <x:c r="D40" s="73" t="str">
        <x:v>pendiente</x:v>
      </x:c>
      <x:c r="E40" s="75"/>
      <x:c r="F40" s="73"/>
      <x:c r="G40" s="73"/>
      <x:c r="H40" s="77"/>
      <x:c r="I40" s="77"/>
      <x:c r="J40" s="77"/>
      <x:c r="K40" s="73"/>
      <x:c r="L40" s="73"/>
      <x:c r="M40" s="73"/>
      <x:c r="N40" s="73"/>
    </x:row>
    <x:row r="41">
      <x:c r="A41" s="73" t="str">
        <x:v>D08-5</x:v>
      </x:c>
      <x:c r="B41" s="73" t="str">
        <x:v>D08</x:v>
      </x:c>
      <x:c r="C41" s="77" t="n">
        <x:v>5</x:v>
      </x:c>
      <x:c r="D41" s="73" t="str">
        <x:v>pendiente</x:v>
      </x:c>
      <x:c r="E41" s="75"/>
      <x:c r="F41" s="73"/>
      <x:c r="G41" s="73"/>
      <x:c r="H41" s="77"/>
      <x:c r="I41" s="77"/>
      <x:c r="J41" s="77"/>
      <x:c r="K41" s="73"/>
      <x:c r="L41" s="73"/>
      <x:c r="M41" s="73"/>
      <x:c r="N41" s="73"/>
    </x:row>
    <x:row r="42">
      <x:c r="A42" s="73" t="str">
        <x:v>D09-1</x:v>
      </x:c>
      <x:c r="B42" s="73" t="str">
        <x:v>D09</x:v>
      </x:c>
      <x:c r="C42" s="77" t="n">
        <x:v>1</x:v>
      </x:c>
      <x:c r="D42" s="73" t="str">
        <x:v>pendiente</x:v>
      </x:c>
      <x:c r="E42" s="75"/>
      <x:c r="F42" s="73"/>
      <x:c r="G42" s="73"/>
      <x:c r="H42" s="77"/>
      <x:c r="I42" s="77"/>
      <x:c r="J42" s="77"/>
      <x:c r="K42" s="73"/>
      <x:c r="L42" s="73"/>
      <x:c r="M42" s="73"/>
      <x:c r="N42" s="73"/>
    </x:row>
    <x:row r="43">
      <x:c r="A43" s="73" t="str">
        <x:v>D09-2</x:v>
      </x:c>
      <x:c r="B43" s="73" t="str">
        <x:v>D09</x:v>
      </x:c>
      <x:c r="C43" s="77" t="n">
        <x:v>2</x:v>
      </x:c>
      <x:c r="D43" s="73" t="str">
        <x:v>pendiente</x:v>
      </x:c>
      <x:c r="E43" s="75"/>
      <x:c r="F43" s="73"/>
      <x:c r="G43" s="73"/>
      <x:c r="H43" s="77"/>
      <x:c r="I43" s="77"/>
      <x:c r="J43" s="77"/>
      <x:c r="K43" s="73"/>
      <x:c r="L43" s="73"/>
      <x:c r="M43" s="73"/>
      <x:c r="N43" s="73"/>
    </x:row>
    <x:row r="44">
      <x:c r="A44" s="73" t="str">
        <x:v>D09-3</x:v>
      </x:c>
      <x:c r="B44" s="73" t="str">
        <x:v>D09</x:v>
      </x:c>
      <x:c r="C44" s="77" t="n">
        <x:v>3</x:v>
      </x:c>
      <x:c r="D44" s="73" t="str">
        <x:v>pendiente</x:v>
      </x:c>
      <x:c r="E44" s="75"/>
      <x:c r="F44" s="73"/>
      <x:c r="G44" s="73"/>
      <x:c r="H44" s="77"/>
      <x:c r="I44" s="77"/>
      <x:c r="J44" s="77"/>
      <x:c r="K44" s="73"/>
      <x:c r="L44" s="73"/>
      <x:c r="M44" s="73"/>
      <x:c r="N44" s="73"/>
    </x:row>
    <x:row r="45">
      <x:c r="A45" s="73" t="str">
        <x:v>D09-4</x:v>
      </x:c>
      <x:c r="B45" s="73" t="str">
        <x:v>D09</x:v>
      </x:c>
      <x:c r="C45" s="77" t="n">
        <x:v>4</x:v>
      </x:c>
      <x:c r="D45" s="73" t="str">
        <x:v>pendiente</x:v>
      </x:c>
      <x:c r="E45" s="75"/>
      <x:c r="F45" s="73"/>
      <x:c r="G45" s="73"/>
      <x:c r="H45" s="77"/>
      <x:c r="I45" s="77"/>
      <x:c r="J45" s="77"/>
      <x:c r="K45" s="73"/>
      <x:c r="L45" s="73"/>
      <x:c r="M45" s="73"/>
      <x:c r="N45" s="73"/>
    </x:row>
    <x:row r="46">
      <x:c r="A46" s="73" t="str">
        <x:v>D09-5</x:v>
      </x:c>
      <x:c r="B46" s="73" t="str">
        <x:v>D09</x:v>
      </x:c>
      <x:c r="C46" s="77" t="n">
        <x:v>5</x:v>
      </x:c>
      <x:c r="D46" s="73" t="str">
        <x:v>pendiente</x:v>
      </x:c>
      <x:c r="E46" s="75"/>
      <x:c r="F46" s="73"/>
      <x:c r="G46" s="73"/>
      <x:c r="H46" s="77"/>
      <x:c r="I46" s="77"/>
      <x:c r="J46" s="77"/>
      <x:c r="K46" s="73"/>
      <x:c r="L46" s="73"/>
      <x:c r="M46" s="73"/>
      <x:c r="N46" s="73"/>
    </x:row>
    <x:row r="47">
      <x:c r="A47" s="73" t="str">
        <x:v>D10-1</x:v>
      </x:c>
      <x:c r="B47" s="73" t="str">
        <x:v>D10</x:v>
      </x:c>
      <x:c r="C47" s="77" t="n">
        <x:v>1</x:v>
      </x:c>
      <x:c r="D47" s="73" t="str">
        <x:v>pendiente</x:v>
      </x:c>
      <x:c r="E47" s="75"/>
      <x:c r="F47" s="73"/>
      <x:c r="G47" s="73"/>
      <x:c r="H47" s="77"/>
      <x:c r="I47" s="77"/>
      <x:c r="J47" s="77"/>
      <x:c r="K47" s="73"/>
      <x:c r="L47" s="73"/>
      <x:c r="M47" s="73"/>
      <x:c r="N47" s="73"/>
    </x:row>
    <x:row r="48">
      <x:c r="A48" s="73" t="str">
        <x:v>D10-2</x:v>
      </x:c>
      <x:c r="B48" s="73" t="str">
        <x:v>D10</x:v>
      </x:c>
      <x:c r="C48" s="77" t="n">
        <x:v>2</x:v>
      </x:c>
      <x:c r="D48" s="73" t="str">
        <x:v>pendiente</x:v>
      </x:c>
      <x:c r="E48" s="75"/>
      <x:c r="F48" s="73"/>
      <x:c r="G48" s="73"/>
      <x:c r="H48" s="77"/>
      <x:c r="I48" s="77"/>
      <x:c r="J48" s="77"/>
      <x:c r="K48" s="73"/>
      <x:c r="L48" s="73"/>
      <x:c r="M48" s="73"/>
      <x:c r="N48" s="73"/>
    </x:row>
    <x:row r="49">
      <x:c r="A49" s="73" t="str">
        <x:v>D10-3</x:v>
      </x:c>
      <x:c r="B49" s="73" t="str">
        <x:v>D10</x:v>
      </x:c>
      <x:c r="C49" s="77" t="n">
        <x:v>3</x:v>
      </x:c>
      <x:c r="D49" s="73" t="str">
        <x:v>pendiente</x:v>
      </x:c>
      <x:c r="E49" s="75"/>
      <x:c r="F49" s="73"/>
      <x:c r="G49" s="73"/>
      <x:c r="H49" s="77"/>
      <x:c r="I49" s="77"/>
      <x:c r="J49" s="77"/>
      <x:c r="K49" s="73"/>
      <x:c r="L49" s="73"/>
      <x:c r="M49" s="73"/>
      <x:c r="N49" s="73"/>
    </x:row>
    <x:row r="50">
      <x:c r="A50" s="73" t="str">
        <x:v>D10-4</x:v>
      </x:c>
      <x:c r="B50" s="73" t="str">
        <x:v>D10</x:v>
      </x:c>
      <x:c r="C50" s="77" t="n">
        <x:v>4</x:v>
      </x:c>
      <x:c r="D50" s="73" t="str">
        <x:v>pendiente</x:v>
      </x:c>
      <x:c r="E50" s="75"/>
      <x:c r="F50" s="73"/>
      <x:c r="G50" s="73"/>
      <x:c r="H50" s="77"/>
      <x:c r="I50" s="77"/>
      <x:c r="J50" s="77"/>
      <x:c r="K50" s="73"/>
      <x:c r="L50" s="73"/>
      <x:c r="M50" s="73"/>
      <x:c r="N50" s="73"/>
    </x:row>
    <x:row r="51">
      <x:c r="A51" s="73" t="str">
        <x:v>D10-5</x:v>
      </x:c>
      <x:c r="B51" s="73" t="str">
        <x:v>D10</x:v>
      </x:c>
      <x:c r="C51" s="77" t="n">
        <x:v>5</x:v>
      </x:c>
      <x:c r="D51" s="73" t="str">
        <x:v>pendiente</x:v>
      </x:c>
      <x:c r="E51" s="75"/>
      <x:c r="F51" s="73"/>
      <x:c r="G51" s="73"/>
      <x:c r="H51" s="77"/>
      <x:c r="I51" s="77"/>
      <x:c r="J51" s="77"/>
      <x:c r="K51" s="73"/>
      <x:c r="L51" s="73"/>
      <x:c r="M51" s="73"/>
      <x:c r="N51" s="73"/>
    </x:row>
    <x:row r="52">
      <x:c r="A52" s="73" t="str">
        <x:v>D11-1</x:v>
      </x:c>
      <x:c r="B52" s="73" t="str">
        <x:v>D11</x:v>
      </x:c>
      <x:c r="C52" s="77" t="n">
        <x:v>1</x:v>
      </x:c>
      <x:c r="D52" s="73" t="str">
        <x:v>pendiente</x:v>
      </x:c>
      <x:c r="E52" s="75"/>
      <x:c r="F52" s="73"/>
      <x:c r="G52" s="73"/>
      <x:c r="H52" s="77"/>
      <x:c r="I52" s="77"/>
      <x:c r="J52" s="77"/>
      <x:c r="K52" s="73"/>
      <x:c r="L52" s="73"/>
      <x:c r="M52" s="73"/>
      <x:c r="N52" s="73"/>
    </x:row>
    <x:row r="53">
      <x:c r="A53" s="73" t="str">
        <x:v>D11-2</x:v>
      </x:c>
      <x:c r="B53" s="73" t="str">
        <x:v>D11</x:v>
      </x:c>
      <x:c r="C53" s="77" t="n">
        <x:v>2</x:v>
      </x:c>
      <x:c r="D53" s="73" t="str">
        <x:v>pendiente</x:v>
      </x:c>
      <x:c r="E53" s="75"/>
      <x:c r="F53" s="73"/>
      <x:c r="G53" s="73"/>
      <x:c r="H53" s="77"/>
      <x:c r="I53" s="77"/>
      <x:c r="J53" s="77"/>
      <x:c r="K53" s="73"/>
      <x:c r="L53" s="73"/>
      <x:c r="M53" s="73"/>
      <x:c r="N53" s="73"/>
    </x:row>
    <x:row r="54">
      <x:c r="A54" s="73" t="str">
        <x:v>D11-3</x:v>
      </x:c>
      <x:c r="B54" s="73" t="str">
        <x:v>D11</x:v>
      </x:c>
      <x:c r="C54" s="77" t="n">
        <x:v>3</x:v>
      </x:c>
      <x:c r="D54" s="73" t="str">
        <x:v>pendiente</x:v>
      </x:c>
      <x:c r="E54" s="75"/>
      <x:c r="F54" s="73"/>
      <x:c r="G54" s="73"/>
      <x:c r="H54" s="77"/>
      <x:c r="I54" s="77"/>
      <x:c r="J54" s="77"/>
      <x:c r="K54" s="73"/>
      <x:c r="L54" s="73"/>
      <x:c r="M54" s="73"/>
      <x:c r="N54" s="73"/>
    </x:row>
    <x:row r="55">
      <x:c r="A55" s="73" t="str">
        <x:v>D11-4</x:v>
      </x:c>
      <x:c r="B55" s="73" t="str">
        <x:v>D11</x:v>
      </x:c>
      <x:c r="C55" s="77" t="n">
        <x:v>4</x:v>
      </x:c>
      <x:c r="D55" s="73" t="str">
        <x:v>pendiente</x:v>
      </x:c>
      <x:c r="E55" s="75"/>
      <x:c r="F55" s="73"/>
      <x:c r="G55" s="73"/>
      <x:c r="H55" s="77"/>
      <x:c r="I55" s="77"/>
      <x:c r="J55" s="77"/>
      <x:c r="K55" s="73"/>
      <x:c r="L55" s="73"/>
      <x:c r="M55" s="73"/>
      <x:c r="N55" s="73"/>
    </x:row>
    <x:row r="56">
      <x:c r="A56" s="73" t="str">
        <x:v>D11-5</x:v>
      </x:c>
      <x:c r="B56" s="73" t="str">
        <x:v>D11</x:v>
      </x:c>
      <x:c r="C56" s="77" t="n">
        <x:v>5</x:v>
      </x:c>
      <x:c r="D56" s="73" t="str">
        <x:v>pendiente</x:v>
      </x:c>
      <x:c r="E56" s="75"/>
      <x:c r="F56" s="73"/>
      <x:c r="G56" s="73"/>
      <x:c r="H56" s="77"/>
      <x:c r="I56" s="77"/>
      <x:c r="J56" s="77"/>
      <x:c r="K56" s="73"/>
      <x:c r="L56" s="73"/>
      <x:c r="M56" s="73"/>
      <x:c r="N56" s="73"/>
    </x:row>
    <x:row r="57">
      <x:c r="A57" s="73" t="str">
        <x:v>D12-1</x:v>
      </x:c>
      <x:c r="B57" s="73" t="str">
        <x:v>D12</x:v>
      </x:c>
      <x:c r="C57" s="77" t="n">
        <x:v>1</x:v>
      </x:c>
      <x:c r="D57" s="73" t="str">
        <x:v>pendiente</x:v>
      </x:c>
      <x:c r="E57" s="75"/>
      <x:c r="F57" s="73"/>
      <x:c r="G57" s="73"/>
      <x:c r="H57" s="77"/>
      <x:c r="I57" s="77"/>
      <x:c r="J57" s="77"/>
      <x:c r="K57" s="73"/>
      <x:c r="L57" s="73"/>
      <x:c r="M57" s="73"/>
      <x:c r="N57" s="73"/>
    </x:row>
    <x:row r="58">
      <x:c r="A58" s="73" t="str">
        <x:v>D12-2</x:v>
      </x:c>
      <x:c r="B58" s="73" t="str">
        <x:v>D12</x:v>
      </x:c>
      <x:c r="C58" s="77" t="n">
        <x:v>2</x:v>
      </x:c>
      <x:c r="D58" s="73" t="str">
        <x:v>pendiente</x:v>
      </x:c>
      <x:c r="E58" s="75"/>
      <x:c r="F58" s="73"/>
      <x:c r="G58" s="73"/>
      <x:c r="H58" s="77"/>
      <x:c r="I58" s="77"/>
      <x:c r="J58" s="77"/>
      <x:c r="K58" s="73"/>
      <x:c r="L58" s="73"/>
      <x:c r="M58" s="73"/>
      <x:c r="N58" s="73"/>
    </x:row>
    <x:row r="59">
      <x:c r="A59" s="73" t="str">
        <x:v>D12-3</x:v>
      </x:c>
      <x:c r="B59" s="73" t="str">
        <x:v>D12</x:v>
      </x:c>
      <x:c r="C59" s="77" t="n">
        <x:v>3</x:v>
      </x:c>
      <x:c r="D59" s="73" t="str">
        <x:v>pendiente</x:v>
      </x:c>
      <x:c r="E59" s="75"/>
      <x:c r="F59" s="73"/>
      <x:c r="G59" s="73"/>
      <x:c r="H59" s="77"/>
      <x:c r="I59" s="77"/>
      <x:c r="J59" s="77"/>
      <x:c r="K59" s="73"/>
      <x:c r="L59" s="73"/>
      <x:c r="M59" s="73"/>
      <x:c r="N59" s="73"/>
    </x:row>
    <x:row r="60">
      <x:c r="A60" s="73" t="str">
        <x:v>D12-4</x:v>
      </x:c>
      <x:c r="B60" s="73" t="str">
        <x:v>D12</x:v>
      </x:c>
      <x:c r="C60" s="77" t="n">
        <x:v>4</x:v>
      </x:c>
      <x:c r="D60" s="73" t="str">
        <x:v>pendiente</x:v>
      </x:c>
      <x:c r="E60" s="75"/>
      <x:c r="F60" s="73"/>
      <x:c r="G60" s="73"/>
      <x:c r="H60" s="77"/>
      <x:c r="I60" s="77"/>
      <x:c r="J60" s="77"/>
      <x:c r="K60" s="73"/>
      <x:c r="L60" s="73"/>
      <x:c r="M60" s="73"/>
      <x:c r="N60" s="73"/>
    </x:row>
    <x:row r="61">
      <x:c r="A61" s="73" t="str">
        <x:v>D12-5</x:v>
      </x:c>
      <x:c r="B61" s="73" t="str">
        <x:v>D12</x:v>
      </x:c>
      <x:c r="C61" s="77" t="n">
        <x:v>5</x:v>
      </x:c>
      <x:c r="D61" s="73" t="str">
        <x:v>pendiente</x:v>
      </x:c>
      <x:c r="E61" s="75"/>
      <x:c r="F61" s="73"/>
      <x:c r="G61" s="73"/>
      <x:c r="H61" s="77"/>
      <x:c r="I61" s="77"/>
      <x:c r="J61" s="77"/>
      <x:c r="K61" s="73"/>
      <x:c r="L61" s="73"/>
      <x:c r="M61" s="73"/>
      <x:c r="N61" s="73"/>
    </x:row>
    <x:row r="62">
      <x:c r="A62" s="73" t="str">
        <x:v>D13-1</x:v>
      </x:c>
      <x:c r="B62" s="73" t="str">
        <x:v>D13</x:v>
      </x:c>
      <x:c r="C62" s="77" t="n">
        <x:v>1</x:v>
      </x:c>
      <x:c r="D62" s="73" t="str">
        <x:v>pendiente</x:v>
      </x:c>
      <x:c r="E62" s="75"/>
      <x:c r="F62" s="73"/>
      <x:c r="G62" s="73"/>
      <x:c r="H62" s="77"/>
      <x:c r="I62" s="77"/>
      <x:c r="J62" s="77"/>
      <x:c r="K62" s="73"/>
      <x:c r="L62" s="73"/>
      <x:c r="M62" s="73"/>
      <x:c r="N62" s="73"/>
    </x:row>
    <x:row r="63">
      <x:c r="A63" s="73" t="str">
        <x:v>D13-2</x:v>
      </x:c>
      <x:c r="B63" s="73" t="str">
        <x:v>D13</x:v>
      </x:c>
      <x:c r="C63" s="77" t="n">
        <x:v>2</x:v>
      </x:c>
      <x:c r="D63" s="73" t="str">
        <x:v>pendiente</x:v>
      </x:c>
      <x:c r="E63" s="75"/>
      <x:c r="F63" s="73"/>
      <x:c r="G63" s="73"/>
      <x:c r="H63" s="77"/>
      <x:c r="I63" s="77"/>
      <x:c r="J63" s="77"/>
      <x:c r="K63" s="73"/>
      <x:c r="L63" s="73"/>
      <x:c r="M63" s="73"/>
      <x:c r="N63" s="73"/>
    </x:row>
    <x:row r="64">
      <x:c r="A64" s="73" t="str">
        <x:v>D13-3</x:v>
      </x:c>
      <x:c r="B64" s="73" t="str">
        <x:v>D13</x:v>
      </x:c>
      <x:c r="C64" s="77" t="n">
        <x:v>3</x:v>
      </x:c>
      <x:c r="D64" s="73" t="str">
        <x:v>pendiente</x:v>
      </x:c>
      <x:c r="E64" s="75"/>
      <x:c r="F64" s="73"/>
      <x:c r="G64" s="73"/>
      <x:c r="H64" s="77"/>
      <x:c r="I64" s="77"/>
      <x:c r="J64" s="77"/>
      <x:c r="K64" s="73"/>
      <x:c r="L64" s="73"/>
      <x:c r="M64" s="73"/>
      <x:c r="N64" s="73"/>
    </x:row>
    <x:row r="65">
      <x:c r="A65" s="73" t="str">
        <x:v>D13-4</x:v>
      </x:c>
      <x:c r="B65" s="73" t="str">
        <x:v>D13</x:v>
      </x:c>
      <x:c r="C65" s="77" t="n">
        <x:v>4</x:v>
      </x:c>
      <x:c r="D65" s="73" t="str">
        <x:v>pendiente</x:v>
      </x:c>
      <x:c r="E65" s="75"/>
      <x:c r="F65" s="73"/>
      <x:c r="G65" s="73"/>
      <x:c r="H65" s="77"/>
      <x:c r="I65" s="77"/>
      <x:c r="J65" s="77"/>
      <x:c r="K65" s="73"/>
      <x:c r="L65" s="73"/>
      <x:c r="M65" s="73"/>
      <x:c r="N65" s="73"/>
    </x:row>
    <x:row r="66">
      <x:c r="A66" s="73" t="str">
        <x:v>D13-5</x:v>
      </x:c>
      <x:c r="B66" s="73" t="str">
        <x:v>D13</x:v>
      </x:c>
      <x:c r="C66" s="77" t="n">
        <x:v>5</x:v>
      </x:c>
      <x:c r="D66" s="73" t="str">
        <x:v>pendiente</x:v>
      </x:c>
      <x:c r="E66" s="75"/>
      <x:c r="F66" s="73"/>
      <x:c r="G66" s="73"/>
      <x:c r="H66" s="77"/>
      <x:c r="I66" s="77"/>
      <x:c r="J66" s="77"/>
      <x:c r="K66" s="73"/>
      <x:c r="L66" s="73"/>
      <x:c r="M66" s="73"/>
      <x:c r="N66" s="73"/>
    </x:row>
    <x:row r="67">
      <x:c r="A67" s="73" t="str">
        <x:v>D14-1</x:v>
      </x:c>
      <x:c r="B67" s="73" t="str">
        <x:v>D14</x:v>
      </x:c>
      <x:c r="C67" s="77" t="n">
        <x:v>1</x:v>
      </x:c>
      <x:c r="D67" s="73" t="str">
        <x:v>pendiente</x:v>
      </x:c>
      <x:c r="E67" s="75"/>
      <x:c r="F67" s="73"/>
      <x:c r="G67" s="73"/>
      <x:c r="H67" s="77"/>
      <x:c r="I67" s="77"/>
      <x:c r="J67" s="77"/>
      <x:c r="K67" s="73"/>
      <x:c r="L67" s="73"/>
      <x:c r="M67" s="73"/>
      <x:c r="N67" s="73"/>
    </x:row>
    <x:row r="68">
      <x:c r="A68" s="73" t="str">
        <x:v>D14-2</x:v>
      </x:c>
      <x:c r="B68" s="73" t="str">
        <x:v>D14</x:v>
      </x:c>
      <x:c r="C68" s="77" t="n">
        <x:v>2</x:v>
      </x:c>
      <x:c r="D68" s="73" t="str">
        <x:v>pendiente</x:v>
      </x:c>
      <x:c r="E68" s="75"/>
      <x:c r="F68" s="73"/>
      <x:c r="G68" s="73"/>
      <x:c r="H68" s="77"/>
      <x:c r="I68" s="77"/>
      <x:c r="J68" s="77"/>
      <x:c r="K68" s="73"/>
      <x:c r="L68" s="73"/>
      <x:c r="M68" s="73"/>
      <x:c r="N68" s="73"/>
    </x:row>
    <x:row r="69">
      <x:c r="A69" s="73" t="str">
        <x:v>D14-3</x:v>
      </x:c>
      <x:c r="B69" s="73" t="str">
        <x:v>D14</x:v>
      </x:c>
      <x:c r="C69" s="77" t="n">
        <x:v>3</x:v>
      </x:c>
      <x:c r="D69" s="73" t="str">
        <x:v>pendiente</x:v>
      </x:c>
      <x:c r="E69" s="75"/>
      <x:c r="F69" s="73"/>
      <x:c r="G69" s="73"/>
      <x:c r="H69" s="77"/>
      <x:c r="I69" s="77"/>
      <x:c r="J69" s="77"/>
      <x:c r="K69" s="73"/>
      <x:c r="L69" s="73"/>
      <x:c r="M69" s="73"/>
      <x:c r="N69" s="73"/>
    </x:row>
    <x:row r="70">
      <x:c r="A70" s="73" t="str">
        <x:v>D14-4</x:v>
      </x:c>
      <x:c r="B70" s="73" t="str">
        <x:v>D14</x:v>
      </x:c>
      <x:c r="C70" s="77" t="n">
        <x:v>4</x:v>
      </x:c>
      <x:c r="D70" s="73" t="str">
        <x:v>pendiente</x:v>
      </x:c>
      <x:c r="E70" s="75"/>
      <x:c r="F70" s="73"/>
      <x:c r="G70" s="73"/>
      <x:c r="H70" s="77"/>
      <x:c r="I70" s="77"/>
      <x:c r="J70" s="77"/>
      <x:c r="K70" s="73"/>
      <x:c r="L70" s="73"/>
      <x:c r="M70" s="73"/>
      <x:c r="N70" s="73"/>
    </x:row>
    <x:row r="71">
      <x:c r="A71" s="73" t="str">
        <x:v>D14-5</x:v>
      </x:c>
      <x:c r="B71" s="73" t="str">
        <x:v>D14</x:v>
      </x:c>
      <x:c r="C71" s="77" t="n">
        <x:v>5</x:v>
      </x:c>
      <x:c r="D71" s="73" t="str">
        <x:v>pendiente</x:v>
      </x:c>
      <x:c r="E71" s="75"/>
      <x:c r="F71" s="73"/>
      <x:c r="G71" s="73"/>
      <x:c r="H71" s="77"/>
      <x:c r="I71" s="77"/>
      <x:c r="J71" s="77"/>
      <x:c r="K71" s="73"/>
      <x:c r="L71" s="73"/>
      <x:c r="M71" s="73"/>
      <x:c r="N71" s="73"/>
    </x:row>
    <x:row r="72">
      <x:c r="A72" s="73" t="str">
        <x:v>D15-1</x:v>
      </x:c>
      <x:c r="B72" s="73" t="str">
        <x:v>D15</x:v>
      </x:c>
      <x:c r="C72" s="77" t="n">
        <x:v>1</x:v>
      </x:c>
      <x:c r="D72" s="73" t="str">
        <x:v>pendiente</x:v>
      </x:c>
      <x:c r="E72" s="75"/>
      <x:c r="F72" s="73"/>
      <x:c r="G72" s="73"/>
      <x:c r="H72" s="77"/>
      <x:c r="I72" s="77"/>
      <x:c r="J72" s="77"/>
      <x:c r="K72" s="73"/>
      <x:c r="L72" s="73"/>
      <x:c r="M72" s="73"/>
      <x:c r="N72" s="73"/>
    </x:row>
    <x:row r="73">
      <x:c r="A73" s="73" t="str">
        <x:v>D15-2</x:v>
      </x:c>
      <x:c r="B73" s="73" t="str">
        <x:v>D15</x:v>
      </x:c>
      <x:c r="C73" s="77" t="n">
        <x:v>2</x:v>
      </x:c>
      <x:c r="D73" s="73" t="str">
        <x:v>pendiente</x:v>
      </x:c>
      <x:c r="E73" s="75"/>
      <x:c r="F73" s="73"/>
      <x:c r="G73" s="73"/>
      <x:c r="H73" s="77"/>
      <x:c r="I73" s="77"/>
      <x:c r="J73" s="77"/>
      <x:c r="K73" s="73"/>
      <x:c r="L73" s="73"/>
      <x:c r="M73" s="73"/>
      <x:c r="N73" s="73"/>
    </x:row>
    <x:row r="74">
      <x:c r="A74" s="73" t="str">
        <x:v>D15-3</x:v>
      </x:c>
      <x:c r="B74" s="73" t="str">
        <x:v>D15</x:v>
      </x:c>
      <x:c r="C74" s="77" t="n">
        <x:v>3</x:v>
      </x:c>
      <x:c r="D74" s="73" t="str">
        <x:v>pendiente</x:v>
      </x:c>
      <x:c r="E74" s="75"/>
      <x:c r="F74" s="73"/>
      <x:c r="G74" s="73"/>
      <x:c r="H74" s="77"/>
      <x:c r="I74" s="77"/>
      <x:c r="J74" s="77"/>
      <x:c r="K74" s="73"/>
      <x:c r="L74" s="73"/>
      <x:c r="M74" s="73"/>
      <x:c r="N74" s="73"/>
    </x:row>
    <x:row r="75">
      <x:c r="A75" s="73" t="str">
        <x:v>D15-4</x:v>
      </x:c>
      <x:c r="B75" s="73" t="str">
        <x:v>D15</x:v>
      </x:c>
      <x:c r="C75" s="77" t="n">
        <x:v>4</x:v>
      </x:c>
      <x:c r="D75" s="73" t="str">
        <x:v>pendiente</x:v>
      </x:c>
      <x:c r="E75" s="75"/>
      <x:c r="F75" s="73"/>
      <x:c r="G75" s="73"/>
      <x:c r="H75" s="77"/>
      <x:c r="I75" s="77"/>
      <x:c r="J75" s="77"/>
      <x:c r="K75" s="73"/>
      <x:c r="L75" s="73"/>
      <x:c r="M75" s="73"/>
      <x:c r="N75" s="73"/>
    </x:row>
    <x:row r="76">
      <x:c r="A76" s="73" t="str">
        <x:v>D15-5</x:v>
      </x:c>
      <x:c r="B76" s="73" t="str">
        <x:v>D15</x:v>
      </x:c>
      <x:c r="C76" s="77" t="n">
        <x:v>5</x:v>
      </x:c>
      <x:c r="D76" s="73" t="str">
        <x:v>pendiente</x:v>
      </x:c>
      <x:c r="E76" s="75"/>
      <x:c r="F76" s="73"/>
      <x:c r="G76" s="73"/>
      <x:c r="H76" s="77"/>
      <x:c r="I76" s="77"/>
      <x:c r="J76" s="77"/>
      <x:c r="K76" s="73"/>
      <x:c r="L76" s="73"/>
      <x:c r="M76" s="73"/>
      <x:c r="N76" s="73"/>
    </x:row>
    <x:row r="77">
      <x:c r="A77" s="73" t="str">
        <x:v>D16-1</x:v>
      </x:c>
      <x:c r="B77" s="73" t="str">
        <x:v>D16</x:v>
      </x:c>
      <x:c r="C77" s="77" t="n">
        <x:v>1</x:v>
      </x:c>
      <x:c r="D77" s="73" t="str">
        <x:v>pendiente</x:v>
      </x:c>
      <x:c r="E77" s="75"/>
      <x:c r="F77" s="73"/>
      <x:c r="G77" s="73"/>
      <x:c r="H77" s="77"/>
      <x:c r="I77" s="77"/>
      <x:c r="J77" s="77"/>
      <x:c r="K77" s="73"/>
      <x:c r="L77" s="73"/>
      <x:c r="M77" s="73"/>
      <x:c r="N77" s="73"/>
    </x:row>
    <x:row r="78">
      <x:c r="A78" s="73" t="str">
        <x:v>D16-2</x:v>
      </x:c>
      <x:c r="B78" s="73" t="str">
        <x:v>D16</x:v>
      </x:c>
      <x:c r="C78" s="77" t="n">
        <x:v>2</x:v>
      </x:c>
      <x:c r="D78" s="73" t="str">
        <x:v>pendiente</x:v>
      </x:c>
      <x:c r="E78" s="75"/>
      <x:c r="F78" s="73"/>
      <x:c r="G78" s="73"/>
      <x:c r="H78" s="77"/>
      <x:c r="I78" s="77"/>
      <x:c r="J78" s="77"/>
      <x:c r="K78" s="73"/>
      <x:c r="L78" s="73"/>
      <x:c r="M78" s="73"/>
      <x:c r="N78" s="73"/>
    </x:row>
    <x:row r="79">
      <x:c r="A79" s="73" t="str">
        <x:v>D16-3</x:v>
      </x:c>
      <x:c r="B79" s="73" t="str">
        <x:v>D16</x:v>
      </x:c>
      <x:c r="C79" s="77" t="n">
        <x:v>3</x:v>
      </x:c>
      <x:c r="D79" s="73" t="str">
        <x:v>pendiente</x:v>
      </x:c>
      <x:c r="E79" s="75"/>
      <x:c r="F79" s="73"/>
      <x:c r="G79" s="73"/>
      <x:c r="H79" s="77"/>
      <x:c r="I79" s="77"/>
      <x:c r="J79" s="77"/>
      <x:c r="K79" s="73"/>
      <x:c r="L79" s="73"/>
      <x:c r="M79" s="73"/>
      <x:c r="N79" s="73"/>
    </x:row>
    <x:row r="80">
      <x:c r="A80" s="73" t="str">
        <x:v>D16-4</x:v>
      </x:c>
      <x:c r="B80" s="73" t="str">
        <x:v>D16</x:v>
      </x:c>
      <x:c r="C80" s="77" t="n">
        <x:v>4</x:v>
      </x:c>
      <x:c r="D80" s="73" t="str">
        <x:v>pendiente</x:v>
      </x:c>
      <x:c r="E80" s="75"/>
      <x:c r="F80" s="73"/>
      <x:c r="G80" s="73"/>
      <x:c r="H80" s="77"/>
      <x:c r="I80" s="77"/>
      <x:c r="J80" s="77"/>
      <x:c r="K80" s="73"/>
      <x:c r="L80" s="73"/>
      <x:c r="M80" s="73"/>
      <x:c r="N80" s="73"/>
    </x:row>
    <x:row r="81">
      <x:c r="A81" s="73" t="str">
        <x:v>D16-5</x:v>
      </x:c>
      <x:c r="B81" s="73" t="str">
        <x:v>D16</x:v>
      </x:c>
      <x:c r="C81" s="77" t="n">
        <x:v>5</x:v>
      </x:c>
      <x:c r="D81" s="73" t="str">
        <x:v>pendiente</x:v>
      </x:c>
      <x:c r="E81" s="75"/>
      <x:c r="F81" s="73"/>
      <x:c r="G81" s="73"/>
      <x:c r="H81" s="77"/>
      <x:c r="I81" s="77"/>
      <x:c r="J81" s="77"/>
      <x:c r="K81" s="73"/>
      <x:c r="L81" s="73"/>
      <x:c r="M81" s="73"/>
      <x:c r="N81" s="73"/>
    </x:row>
    <x:row r="82">
      <x:c r="A82" s="73" t="str">
        <x:v>D17-1</x:v>
      </x:c>
      <x:c r="B82" s="73" t="str">
        <x:v>D17</x:v>
      </x:c>
      <x:c r="C82" s="77" t="n">
        <x:v>1</x:v>
      </x:c>
      <x:c r="D82" s="73" t="str">
        <x:v>pendiente</x:v>
      </x:c>
      <x:c r="E82" s="75"/>
      <x:c r="F82" s="73"/>
      <x:c r="G82" s="73"/>
      <x:c r="H82" s="77"/>
      <x:c r="I82" s="77"/>
      <x:c r="J82" s="77"/>
      <x:c r="K82" s="73"/>
      <x:c r="L82" s="73"/>
      <x:c r="M82" s="73"/>
      <x:c r="N82" s="73"/>
    </x:row>
    <x:row r="83">
      <x:c r="A83" s="73" t="str">
        <x:v>D17-2</x:v>
      </x:c>
      <x:c r="B83" s="73" t="str">
        <x:v>D17</x:v>
      </x:c>
      <x:c r="C83" s="77" t="n">
        <x:v>2</x:v>
      </x:c>
      <x:c r="D83" s="73" t="str">
        <x:v>pendiente</x:v>
      </x:c>
      <x:c r="E83" s="75"/>
      <x:c r="F83" s="73"/>
      <x:c r="G83" s="73"/>
      <x:c r="H83" s="77"/>
      <x:c r="I83" s="77"/>
      <x:c r="J83" s="77"/>
      <x:c r="K83" s="73"/>
      <x:c r="L83" s="73"/>
      <x:c r="M83" s="73"/>
      <x:c r="N83" s="73"/>
    </x:row>
    <x:row r="84">
      <x:c r="A84" s="73" t="str">
        <x:v>D17-3</x:v>
      </x:c>
      <x:c r="B84" s="73" t="str">
        <x:v>D17</x:v>
      </x:c>
      <x:c r="C84" s="77" t="n">
        <x:v>3</x:v>
      </x:c>
      <x:c r="D84" s="73" t="str">
        <x:v>pendiente</x:v>
      </x:c>
      <x:c r="E84" s="75"/>
      <x:c r="F84" s="73"/>
      <x:c r="G84" s="73"/>
      <x:c r="H84" s="77"/>
      <x:c r="I84" s="77"/>
      <x:c r="J84" s="77"/>
      <x:c r="K84" s="73"/>
      <x:c r="L84" s="73"/>
      <x:c r="M84" s="73"/>
      <x:c r="N84" s="73"/>
    </x:row>
    <x:row r="85">
      <x:c r="A85" s="73" t="str">
        <x:v>D17-4</x:v>
      </x:c>
      <x:c r="B85" s="73" t="str">
        <x:v>D17</x:v>
      </x:c>
      <x:c r="C85" s="77" t="n">
        <x:v>4</x:v>
      </x:c>
      <x:c r="D85" s="73" t="str">
        <x:v>pendiente</x:v>
      </x:c>
      <x:c r="E85" s="75"/>
      <x:c r="F85" s="73"/>
      <x:c r="G85" s="73"/>
      <x:c r="H85" s="77"/>
      <x:c r="I85" s="77"/>
      <x:c r="J85" s="77"/>
      <x:c r="K85" s="73"/>
      <x:c r="L85" s="73"/>
      <x:c r="M85" s="73"/>
      <x:c r="N85" s="73"/>
    </x:row>
    <x:row r="86">
      <x:c r="A86" s="73" t="str">
        <x:v>D17-5</x:v>
      </x:c>
      <x:c r="B86" s="73" t="str">
        <x:v>D17</x:v>
      </x:c>
      <x:c r="C86" s="77" t="n">
        <x:v>5</x:v>
      </x:c>
      <x:c r="D86" s="73" t="str">
        <x:v>pendiente</x:v>
      </x:c>
      <x:c r="E86" s="75"/>
      <x:c r="F86" s="73"/>
      <x:c r="G86" s="73"/>
      <x:c r="H86" s="77"/>
      <x:c r="I86" s="77"/>
      <x:c r="J86" s="77"/>
      <x:c r="K86" s="73"/>
      <x:c r="L86" s="73"/>
      <x:c r="M86" s="73"/>
      <x:c r="N86" s="73"/>
    </x:row>
    <x:row r="87">
      <x:c r="A87" s="73" t="str">
        <x:v>D18-1</x:v>
      </x:c>
      <x:c r="B87" s="73" t="str">
        <x:v>D18</x:v>
      </x:c>
      <x:c r="C87" s="77" t="n">
        <x:v>1</x:v>
      </x:c>
      <x:c r="D87" s="73" t="str">
        <x:v>pendiente</x:v>
      </x:c>
      <x:c r="E87" s="75"/>
      <x:c r="F87" s="73"/>
      <x:c r="G87" s="73"/>
      <x:c r="H87" s="77"/>
      <x:c r="I87" s="77"/>
      <x:c r="J87" s="77"/>
      <x:c r="K87" s="73"/>
      <x:c r="L87" s="73"/>
      <x:c r="M87" s="73"/>
      <x:c r="N87" s="73"/>
    </x:row>
    <x:row r="88">
      <x:c r="A88" s="73" t="str">
        <x:v>D18-2</x:v>
      </x:c>
      <x:c r="B88" s="73" t="str">
        <x:v>D18</x:v>
      </x:c>
      <x:c r="C88" s="77" t="n">
        <x:v>2</x:v>
      </x:c>
      <x:c r="D88" s="73" t="str">
        <x:v>pendiente</x:v>
      </x:c>
      <x:c r="E88" s="75"/>
      <x:c r="F88" s="73"/>
      <x:c r="G88" s="73"/>
      <x:c r="H88" s="77"/>
      <x:c r="I88" s="77"/>
      <x:c r="J88" s="77"/>
      <x:c r="K88" s="73"/>
      <x:c r="L88" s="73"/>
      <x:c r="M88" s="73"/>
      <x:c r="N88" s="73"/>
    </x:row>
    <x:row r="89">
      <x:c r="A89" s="73" t="str">
        <x:v>D18-3</x:v>
      </x:c>
      <x:c r="B89" s="73" t="str">
        <x:v>D18</x:v>
      </x:c>
      <x:c r="C89" s="77" t="n">
        <x:v>3</x:v>
      </x:c>
      <x:c r="D89" s="73" t="str">
        <x:v>pendiente</x:v>
      </x:c>
      <x:c r="E89" s="75"/>
      <x:c r="F89" s="73"/>
      <x:c r="G89" s="73"/>
      <x:c r="H89" s="77"/>
      <x:c r="I89" s="77"/>
      <x:c r="J89" s="77"/>
      <x:c r="K89" s="73"/>
      <x:c r="L89" s="73"/>
      <x:c r="M89" s="73"/>
      <x:c r="N89" s="73"/>
    </x:row>
    <x:row r="90">
      <x:c r="A90" s="73" t="str">
        <x:v>D18-4</x:v>
      </x:c>
      <x:c r="B90" s="73" t="str">
        <x:v>D18</x:v>
      </x:c>
      <x:c r="C90" s="77" t="n">
        <x:v>4</x:v>
      </x:c>
      <x:c r="D90" s="73" t="str">
        <x:v>pendiente</x:v>
      </x:c>
      <x:c r="E90" s="75"/>
      <x:c r="F90" s="73"/>
      <x:c r="G90" s="73"/>
      <x:c r="H90" s="77"/>
      <x:c r="I90" s="77"/>
      <x:c r="J90" s="77"/>
      <x:c r="K90" s="73"/>
      <x:c r="L90" s="73"/>
      <x:c r="M90" s="73"/>
      <x:c r="N90" s="73"/>
    </x:row>
    <x:row r="91">
      <x:c r="A91" s="73" t="str">
        <x:v>D18-5</x:v>
      </x:c>
      <x:c r="B91" s="73" t="str">
        <x:v>D18</x:v>
      </x:c>
      <x:c r="C91" s="77" t="n">
        <x:v>5</x:v>
      </x:c>
      <x:c r="D91" s="73" t="str">
        <x:v>pendiente</x:v>
      </x:c>
      <x:c r="E91" s="75"/>
      <x:c r="F91" s="73"/>
      <x:c r="G91" s="73"/>
      <x:c r="H91" s="77"/>
      <x:c r="I91" s="77"/>
      <x:c r="J91" s="77"/>
      <x:c r="K91" s="73"/>
      <x:c r="L91" s="73"/>
      <x:c r="M91" s="73"/>
      <x:c r="N91" s="73"/>
    </x:row>
    <x:row r="92">
      <x:c r="A92" s="73" t="str">
        <x:v>D19-1</x:v>
      </x:c>
      <x:c r="B92" s="73" t="str">
        <x:v>D19</x:v>
      </x:c>
      <x:c r="C92" s="77" t="n">
        <x:v>1</x:v>
      </x:c>
      <x:c r="D92" s="73" t="str">
        <x:v>pendiente</x:v>
      </x:c>
      <x:c r="E92" s="75"/>
      <x:c r="F92" s="73"/>
      <x:c r="G92" s="73"/>
      <x:c r="H92" s="77"/>
      <x:c r="I92" s="77"/>
      <x:c r="J92" s="77"/>
      <x:c r="K92" s="73"/>
      <x:c r="L92" s="73"/>
      <x:c r="M92" s="73"/>
      <x:c r="N92" s="73"/>
    </x:row>
    <x:row r="93">
      <x:c r="A93" s="73" t="str">
        <x:v>D19-2</x:v>
      </x:c>
      <x:c r="B93" s="73" t="str">
        <x:v>D19</x:v>
      </x:c>
      <x:c r="C93" s="77" t="n">
        <x:v>2</x:v>
      </x:c>
      <x:c r="D93" s="73" t="str">
        <x:v>pendiente</x:v>
      </x:c>
      <x:c r="E93" s="75"/>
      <x:c r="F93" s="73"/>
      <x:c r="G93" s="73"/>
      <x:c r="H93" s="77"/>
      <x:c r="I93" s="77"/>
      <x:c r="J93" s="77"/>
      <x:c r="K93" s="73"/>
      <x:c r="L93" s="73"/>
      <x:c r="M93" s="73"/>
      <x:c r="N93" s="73"/>
    </x:row>
    <x:row r="94">
      <x:c r="A94" s="73" t="str">
        <x:v>D19-3</x:v>
      </x:c>
      <x:c r="B94" s="73" t="str">
        <x:v>D19</x:v>
      </x:c>
      <x:c r="C94" s="77" t="n">
        <x:v>3</x:v>
      </x:c>
      <x:c r="D94" s="73" t="str">
        <x:v>pendiente</x:v>
      </x:c>
      <x:c r="E94" s="75"/>
      <x:c r="F94" s="73"/>
      <x:c r="G94" s="73"/>
      <x:c r="H94" s="77"/>
      <x:c r="I94" s="77"/>
      <x:c r="J94" s="77"/>
      <x:c r="K94" s="73"/>
      <x:c r="L94" s="73"/>
      <x:c r="M94" s="73"/>
      <x:c r="N94" s="73"/>
    </x:row>
    <x:row r="95">
      <x:c r="A95" s="73" t="str">
        <x:v>D19-4</x:v>
      </x:c>
      <x:c r="B95" s="73" t="str">
        <x:v>D19</x:v>
      </x:c>
      <x:c r="C95" s="77" t="n">
        <x:v>4</x:v>
      </x:c>
      <x:c r="D95" s="73" t="str">
        <x:v>pendiente</x:v>
      </x:c>
      <x:c r="E95" s="75"/>
      <x:c r="F95" s="73"/>
      <x:c r="G95" s="73"/>
      <x:c r="H95" s="77"/>
      <x:c r="I95" s="77"/>
      <x:c r="J95" s="77"/>
      <x:c r="K95" s="73"/>
      <x:c r="L95" s="73"/>
      <x:c r="M95" s="73"/>
      <x:c r="N95" s="73"/>
    </x:row>
    <x:row r="96">
      <x:c r="A96" s="73" t="str">
        <x:v>D19-5</x:v>
      </x:c>
      <x:c r="B96" s="73" t="str">
        <x:v>D19</x:v>
      </x:c>
      <x:c r="C96" s="77" t="n">
        <x:v>5</x:v>
      </x:c>
      <x:c r="D96" s="73" t="str">
        <x:v>pendiente</x:v>
      </x:c>
      <x:c r="E96" s="75"/>
      <x:c r="F96" s="73"/>
      <x:c r="G96" s="73"/>
      <x:c r="H96" s="77"/>
      <x:c r="I96" s="77"/>
      <x:c r="J96" s="77"/>
      <x:c r="K96" s="73"/>
      <x:c r="L96" s="73"/>
      <x:c r="M96" s="73"/>
      <x:c r="N96" s="73"/>
    </x:row>
    <x:row r="97">
      <x:c r="A97" s="73" t="str">
        <x:v>D20-1</x:v>
      </x:c>
      <x:c r="B97" s="73" t="str">
        <x:v>D20</x:v>
      </x:c>
      <x:c r="C97" s="77" t="n">
        <x:v>1</x:v>
      </x:c>
      <x:c r="D97" s="73" t="str">
        <x:v>pendiente</x:v>
      </x:c>
      <x:c r="E97" s="75"/>
      <x:c r="F97" s="73"/>
      <x:c r="G97" s="73"/>
      <x:c r="H97" s="77"/>
      <x:c r="I97" s="77"/>
      <x:c r="J97" s="77"/>
      <x:c r="K97" s="73"/>
      <x:c r="L97" s="73"/>
      <x:c r="M97" s="73"/>
      <x:c r="N97" s="73"/>
    </x:row>
    <x:row r="98">
      <x:c r="A98" s="73" t="str">
        <x:v>D20-2</x:v>
      </x:c>
      <x:c r="B98" s="73" t="str">
        <x:v>D20</x:v>
      </x:c>
      <x:c r="C98" s="77" t="n">
        <x:v>2</x:v>
      </x:c>
      <x:c r="D98" s="73" t="str">
        <x:v>pendiente</x:v>
      </x:c>
      <x:c r="E98" s="75"/>
      <x:c r="F98" s="73"/>
      <x:c r="G98" s="73"/>
      <x:c r="H98" s="77"/>
      <x:c r="I98" s="77"/>
      <x:c r="J98" s="77"/>
      <x:c r="K98" s="73"/>
      <x:c r="L98" s="73"/>
      <x:c r="M98" s="73"/>
      <x:c r="N98" s="73"/>
    </x:row>
    <x:row r="99">
      <x:c r="A99" s="73" t="str">
        <x:v>D20-3</x:v>
      </x:c>
      <x:c r="B99" s="73" t="str">
        <x:v>D20</x:v>
      </x:c>
      <x:c r="C99" s="77" t="n">
        <x:v>3</x:v>
      </x:c>
      <x:c r="D99" s="73" t="str">
        <x:v>pendiente</x:v>
      </x:c>
      <x:c r="E99" s="75"/>
      <x:c r="F99" s="73"/>
      <x:c r="G99" s="73"/>
      <x:c r="H99" s="77"/>
      <x:c r="I99" s="77"/>
      <x:c r="J99" s="77"/>
      <x:c r="K99" s="73"/>
      <x:c r="L99" s="73"/>
      <x:c r="M99" s="73"/>
      <x:c r="N99" s="73"/>
    </x:row>
    <x:row r="100">
      <x:c r="A100" s="73" t="str">
        <x:v>D20-4</x:v>
      </x:c>
      <x:c r="B100" s="73" t="str">
        <x:v>D20</x:v>
      </x:c>
      <x:c r="C100" s="77" t="n">
        <x:v>4</x:v>
      </x:c>
      <x:c r="D100" s="73" t="str">
        <x:v>pendiente</x:v>
      </x:c>
      <x:c r="E100" s="75"/>
      <x:c r="F100" s="73"/>
      <x:c r="G100" s="73"/>
      <x:c r="H100" s="77"/>
      <x:c r="I100" s="77"/>
      <x:c r="J100" s="77"/>
      <x:c r="K100" s="73"/>
      <x:c r="L100" s="73"/>
      <x:c r="M100" s="73"/>
      <x:c r="N100" s="73"/>
    </x:row>
    <x:row r="101">
      <x:c r="A101" s="73" t="str">
        <x:v>D20-5</x:v>
      </x:c>
      <x:c r="B101" s="73" t="str">
        <x:v>D20</x:v>
      </x:c>
      <x:c r="C101" s="77" t="n">
        <x:v>5</x:v>
      </x:c>
      <x:c r="D101" s="73" t="str">
        <x:v>pendiente</x:v>
      </x:c>
      <x:c r="E101" s="75"/>
      <x:c r="F101" s="73"/>
      <x:c r="G101" s="73"/>
      <x:c r="H101" s="77"/>
      <x:c r="I101" s="77"/>
      <x:c r="J101" s="77"/>
      <x:c r="K101" s="73"/>
      <x:c r="L101" s="73"/>
      <x:c r="M101" s="73"/>
      <x:c r="N101" s="73"/>
    </x:row>
  </x:sheetData>
  <x:conditionalFormatting sqref="D2:D101">
    <x:cfRule type="containsText" dxfId="2" priority="1" operator="containsText" text="observado"/>
    <x:cfRule type="containsText" dxfId="3" priority="2" operator="containsText" text="desconocido"/>
  </x:conditionalFormatting>
  <x:dataValidations count="3">
    <x:dataValidation type="list" sqref="D2:D101">
      <x:formula1>"pendiente,observado,inferido,desconocido"</x:formula1>
    </x:dataValidation>
    <x:dataValidation type="list" sqref="G2:G101">
      <x:formula1>"Google,Facebook Marketplace,Directorio local,Comercia HN,WhatsApp/contacto directo,La Pulperia"</x:formula1>
    </x:dataValidation>
    <x:dataValidation type="list" sqref="L2:L101">
      <x:formula1>"respuesta_util,alternativa_inferior,abandono,bloqueado,completado,sin_necesidad,desconocido"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1" hidden="0" customWidth="1"/>
    <x:col min="4" max="4" width="13" hidden="0" customWidth="1"/>
    <x:col min="5" max="5" width="18" hidden="0" customWidth="1"/>
    <x:col min="6" max="6" width="13" hidden="0" customWidth="1"/>
    <x:col min="7" max="7" width="22" hidden="0" customWidth="1"/>
    <x:col min="8" max="8" width="15" hidden="0" customWidth="1"/>
    <x:col min="9" max="9" width="19" hidden="0" customWidth="1"/>
    <x:col min="10" max="10" width="16" hidden="0" customWidth="1"/>
    <x:col min="11" max="11" width="23" hidden="0" customWidth="1"/>
    <x:col min="12" max="12" width="30" hidden="0" customWidth="1"/>
    <x:col min="13" max="13" width="15" hidden="0" customWidth="1"/>
    <x:col min="14" max="14" width="24" hidden="0" customWidth="1"/>
    <x:col min="15" max="15" width="18" hidden="0" customWidth="1"/>
    <x:col min="16" max="16" width="34" hidden="0" customWidth="1"/>
  </x:cols>
  <x:sheetData>
    <x:row r="1" ht="42" customHeight="1">
      <x:c r="A1" s="31" t="str">
        <x:v>tarea_codigo</x:v>
      </x:c>
      <x:c r="B1" s="32" t="str">
        <x:v>participante_codigo</x:v>
      </x:c>
      <x:c r="C1" s="32" t="str">
        <x:v>cohorte</x:v>
      </x:c>
      <x:c r="D1" s="32" t="str">
        <x:v>tarea_numero</x:v>
      </x:c>
      <x:c r="E1" s="32" t="str">
        <x:v>estado_evidencia</x:v>
      </x:c>
      <x:c r="F1" s="32" t="str">
        <x:v>fecha</x:v>
      </x:c>
      <x:c r="G1" s="32" t="str">
        <x:v>clase_oferta</x:v>
      </x:c>
      <x:c r="H1" s="32" t="str">
        <x:v>accion</x:v>
      </x:c>
      <x:c r="I1" s="32" t="str">
        <x:v>duracion_segundos</x:v>
      </x:c>
      <x:c r="J1" s="32" t="str">
        <x:v>asistencia</x:v>
      </x:c>
      <x:c r="K1" s="32" t="str">
        <x:v>campos_comprendidos</x:v>
      </x:c>
      <x:c r="L1" s="32" t="str">
        <x:v>informacion_no_disponible</x:v>
      </x:c>
      <x:c r="M1" s="32" t="str">
        <x:v>modo_precio</x:v>
      </x:c>
      <x:c r="N1" s="32" t="str">
        <x:v>cumplimiento</x:v>
      </x:c>
      <x:c r="O1" s="32" t="str">
        <x:v>completo_390px</x:v>
      </x:c>
      <x:c r="P1" s="33" t="str">
        <x:v>desenlace_nota_sin_pii</x:v>
      </x:c>
    </x:row>
    <x:row r="2">
      <x:c r="A2" s="72" t="str">
        <x:v>S01-T1</x:v>
      </x:c>
      <x:c r="B2" s="72" t="str">
        <x:v>S01</x:v>
      </x:c>
      <x:c r="C2" s="72" t="str">
        <x:v>productos</x:v>
      </x:c>
      <x:c r="D2" s="76" t="n">
        <x:v>1</x:v>
      </x:c>
      <x:c r="E2" s="72" t="str">
        <x:v>pendiente</x:v>
      </x:c>
      <x:c r="F2" s="74"/>
      <x:c r="G2" s="72"/>
      <x:c r="H2" s="72"/>
      <x:c r="I2" s="76"/>
      <x:c r="J2" s="72"/>
      <x:c r="K2" s="72"/>
      <x:c r="L2" s="72"/>
      <x:c r="M2" s="72"/>
      <x:c r="N2" s="72"/>
      <x:c r="O2" s="72"/>
      <x:c r="P2" s="72"/>
    </x:row>
    <x:row r="3">
      <x:c r="A3" s="73" t="str">
        <x:v>S01-T2</x:v>
      </x:c>
      <x:c r="B3" s="73" t="str">
        <x:v>S01</x:v>
      </x:c>
      <x:c r="C3" s="73" t="str">
        <x:v>productos</x:v>
      </x:c>
      <x:c r="D3" s="77" t="n">
        <x:v>2</x:v>
      </x:c>
      <x:c r="E3" s="73" t="str">
        <x:v>pendiente</x:v>
      </x:c>
      <x:c r="F3" s="75"/>
      <x:c r="G3" s="73"/>
      <x:c r="H3" s="73"/>
      <x:c r="I3" s="77"/>
      <x:c r="J3" s="73"/>
      <x:c r="K3" s="73"/>
      <x:c r="L3" s="73"/>
      <x:c r="M3" s="73"/>
      <x:c r="N3" s="73"/>
      <x:c r="O3" s="73"/>
      <x:c r="P3" s="73"/>
    </x:row>
    <x:row r="4">
      <x:c r="A4" s="73" t="str">
        <x:v>S01-T3</x:v>
      </x:c>
      <x:c r="B4" s="73" t="str">
        <x:v>S01</x:v>
      </x:c>
      <x:c r="C4" s="73" t="str">
        <x:v>productos</x:v>
      </x:c>
      <x:c r="D4" s="77" t="n">
        <x:v>3</x:v>
      </x:c>
      <x:c r="E4" s="73" t="str">
        <x:v>pendiente</x:v>
      </x:c>
      <x:c r="F4" s="75"/>
      <x:c r="G4" s="73"/>
      <x:c r="H4" s="73"/>
      <x:c r="I4" s="77"/>
      <x:c r="J4" s="73"/>
      <x:c r="K4" s="73"/>
      <x:c r="L4" s="73"/>
      <x:c r="M4" s="73"/>
      <x:c r="N4" s="73"/>
      <x:c r="O4" s="73"/>
      <x:c r="P4" s="73"/>
    </x:row>
    <x:row r="5">
      <x:c r="A5" s="73" t="str">
        <x:v>S02-T1</x:v>
      </x:c>
      <x:c r="B5" s="73" t="str">
        <x:v>S02</x:v>
      </x:c>
      <x:c r="C5" s="73" t="str">
        <x:v>productos</x:v>
      </x:c>
      <x:c r="D5" s="77" t="n">
        <x:v>1</x:v>
      </x:c>
      <x:c r="E5" s="73" t="str">
        <x:v>pendiente</x:v>
      </x:c>
      <x:c r="F5" s="75"/>
      <x:c r="G5" s="73"/>
      <x:c r="H5" s="73"/>
      <x:c r="I5" s="77"/>
      <x:c r="J5" s="73"/>
      <x:c r="K5" s="73"/>
      <x:c r="L5" s="73"/>
      <x:c r="M5" s="73"/>
      <x:c r="N5" s="73"/>
      <x:c r="O5" s="73"/>
      <x:c r="P5" s="73"/>
    </x:row>
    <x:row r="6">
      <x:c r="A6" s="73" t="str">
        <x:v>S02-T2</x:v>
      </x:c>
      <x:c r="B6" s="73" t="str">
        <x:v>S02</x:v>
      </x:c>
      <x:c r="C6" s="73" t="str">
        <x:v>productos</x:v>
      </x:c>
      <x:c r="D6" s="77" t="n">
        <x:v>2</x:v>
      </x:c>
      <x:c r="E6" s="73" t="str">
        <x:v>pendiente</x:v>
      </x:c>
      <x:c r="F6" s="75"/>
      <x:c r="G6" s="73"/>
      <x:c r="H6" s="73"/>
      <x:c r="I6" s="77"/>
      <x:c r="J6" s="73"/>
      <x:c r="K6" s="73"/>
      <x:c r="L6" s="73"/>
      <x:c r="M6" s="73"/>
      <x:c r="N6" s="73"/>
      <x:c r="O6" s="73"/>
      <x:c r="P6" s="73"/>
    </x:row>
    <x:row r="7">
      <x:c r="A7" s="73" t="str">
        <x:v>S02-T3</x:v>
      </x:c>
      <x:c r="B7" s="73" t="str">
        <x:v>S02</x:v>
      </x:c>
      <x:c r="C7" s="73" t="str">
        <x:v>productos</x:v>
      </x:c>
      <x:c r="D7" s="77" t="n">
        <x:v>3</x:v>
      </x:c>
      <x:c r="E7" s="73" t="str">
        <x:v>pendiente</x:v>
      </x:c>
      <x:c r="F7" s="75"/>
      <x:c r="G7" s="73"/>
      <x:c r="H7" s="73"/>
      <x:c r="I7" s="77"/>
      <x:c r="J7" s="73"/>
      <x:c r="K7" s="73"/>
      <x:c r="L7" s="73"/>
      <x:c r="M7" s="73"/>
      <x:c r="N7" s="73"/>
      <x:c r="O7" s="73"/>
      <x:c r="P7" s="73"/>
    </x:row>
    <x:row r="8">
      <x:c r="A8" s="73" t="str">
        <x:v>S03-T1</x:v>
      </x:c>
      <x:c r="B8" s="73" t="str">
        <x:v>S03</x:v>
      </x:c>
      <x:c r="C8" s="73" t="str">
        <x:v>productos</x:v>
      </x:c>
      <x:c r="D8" s="77" t="n">
        <x:v>1</x:v>
      </x:c>
      <x:c r="E8" s="73" t="str">
        <x:v>pendiente</x:v>
      </x:c>
      <x:c r="F8" s="75"/>
      <x:c r="G8" s="73"/>
      <x:c r="H8" s="73"/>
      <x:c r="I8" s="77"/>
      <x:c r="J8" s="73"/>
      <x:c r="K8" s="73"/>
      <x:c r="L8" s="73"/>
      <x:c r="M8" s="73"/>
      <x:c r="N8" s="73"/>
      <x:c r="O8" s="73"/>
      <x:c r="P8" s="73"/>
    </x:row>
    <x:row r="9">
      <x:c r="A9" s="73" t="str">
        <x:v>S03-T2</x:v>
      </x:c>
      <x:c r="B9" s="73" t="str">
        <x:v>S03</x:v>
      </x:c>
      <x:c r="C9" s="73" t="str">
        <x:v>productos</x:v>
      </x:c>
      <x:c r="D9" s="77" t="n">
        <x:v>2</x:v>
      </x:c>
      <x:c r="E9" s="73" t="str">
        <x:v>pendiente</x:v>
      </x:c>
      <x:c r="F9" s="75"/>
      <x:c r="G9" s="73"/>
      <x:c r="H9" s="73"/>
      <x:c r="I9" s="77"/>
      <x:c r="J9" s="73"/>
      <x:c r="K9" s="73"/>
      <x:c r="L9" s="73"/>
      <x:c r="M9" s="73"/>
      <x:c r="N9" s="73"/>
      <x:c r="O9" s="73"/>
      <x:c r="P9" s="73"/>
    </x:row>
    <x:row r="10">
      <x:c r="A10" s="73" t="str">
        <x:v>S03-T3</x:v>
      </x:c>
      <x:c r="B10" s="73" t="str">
        <x:v>S03</x:v>
      </x:c>
      <x:c r="C10" s="73" t="str">
        <x:v>productos</x:v>
      </x:c>
      <x:c r="D10" s="77" t="n">
        <x:v>3</x:v>
      </x:c>
      <x:c r="E10" s="73" t="str">
        <x:v>pendiente</x:v>
      </x:c>
      <x:c r="F10" s="75"/>
      <x:c r="G10" s="73"/>
      <x:c r="H10" s="73"/>
      <x:c r="I10" s="77"/>
      <x:c r="J10" s="73"/>
      <x:c r="K10" s="73"/>
      <x:c r="L10" s="73"/>
      <x:c r="M10" s="73"/>
      <x:c r="N10" s="73"/>
      <x:c r="O10" s="73"/>
      <x:c r="P10" s="73"/>
    </x:row>
    <x:row r="11">
      <x:c r="A11" s="73" t="str">
        <x:v>S04-T1</x:v>
      </x:c>
      <x:c r="B11" s="73" t="str">
        <x:v>S04</x:v>
      </x:c>
      <x:c r="C11" s="73" t="str">
        <x:v>productos</x:v>
      </x:c>
      <x:c r="D11" s="77" t="n">
        <x:v>1</x:v>
      </x:c>
      <x:c r="E11" s="73" t="str">
        <x:v>pendiente</x:v>
      </x:c>
      <x:c r="F11" s="75"/>
      <x:c r="G11" s="73"/>
      <x:c r="H11" s="73"/>
      <x:c r="I11" s="77"/>
      <x:c r="J11" s="73"/>
      <x:c r="K11" s="73"/>
      <x:c r="L11" s="73"/>
      <x:c r="M11" s="73"/>
      <x:c r="N11" s="73"/>
      <x:c r="O11" s="73"/>
      <x:c r="P11" s="73"/>
    </x:row>
    <x:row r="12">
      <x:c r="A12" s="73" t="str">
        <x:v>S04-T2</x:v>
      </x:c>
      <x:c r="B12" s="73" t="str">
        <x:v>S04</x:v>
      </x:c>
      <x:c r="C12" s="73" t="str">
        <x:v>productos</x:v>
      </x:c>
      <x:c r="D12" s="77" t="n">
        <x:v>2</x:v>
      </x:c>
      <x:c r="E12" s="73" t="str">
        <x:v>pendiente</x:v>
      </x:c>
      <x:c r="F12" s="75"/>
      <x:c r="G12" s="73"/>
      <x:c r="H12" s="73"/>
      <x:c r="I12" s="77"/>
      <x:c r="J12" s="73"/>
      <x:c r="K12" s="73"/>
      <x:c r="L12" s="73"/>
      <x:c r="M12" s="73"/>
      <x:c r="N12" s="73"/>
      <x:c r="O12" s="73"/>
      <x:c r="P12" s="73"/>
    </x:row>
    <x:row r="13">
      <x:c r="A13" s="73" t="str">
        <x:v>S04-T3</x:v>
      </x:c>
      <x:c r="B13" s="73" t="str">
        <x:v>S04</x:v>
      </x:c>
      <x:c r="C13" s="73" t="str">
        <x:v>productos</x:v>
      </x:c>
      <x:c r="D13" s="77" t="n">
        <x:v>3</x:v>
      </x:c>
      <x:c r="E13" s="73" t="str">
        <x:v>pendiente</x:v>
      </x:c>
      <x:c r="F13" s="75"/>
      <x:c r="G13" s="73"/>
      <x:c r="H13" s="73"/>
      <x:c r="I13" s="77"/>
      <x:c r="J13" s="73"/>
      <x:c r="K13" s="73"/>
      <x:c r="L13" s="73"/>
      <x:c r="M13" s="73"/>
      <x:c r="N13" s="73"/>
      <x:c r="O13" s="73"/>
      <x:c r="P13" s="73"/>
    </x:row>
    <x:row r="14">
      <x:c r="A14" s="73" t="str">
        <x:v>S05-T1</x:v>
      </x:c>
      <x:c r="B14" s="73" t="str">
        <x:v>S05</x:v>
      </x:c>
      <x:c r="C14" s="73" t="str">
        <x:v>productos</x:v>
      </x:c>
      <x:c r="D14" s="77" t="n">
        <x:v>1</x:v>
      </x:c>
      <x:c r="E14" s="73" t="str">
        <x:v>pendiente</x:v>
      </x:c>
      <x:c r="F14" s="75"/>
      <x:c r="G14" s="73"/>
      <x:c r="H14" s="73"/>
      <x:c r="I14" s="77"/>
      <x:c r="J14" s="73"/>
      <x:c r="K14" s="73"/>
      <x:c r="L14" s="73"/>
      <x:c r="M14" s="73"/>
      <x:c r="N14" s="73"/>
      <x:c r="O14" s="73"/>
      <x:c r="P14" s="73"/>
    </x:row>
    <x:row r="15">
      <x:c r="A15" s="73" t="str">
        <x:v>S05-T2</x:v>
      </x:c>
      <x:c r="B15" s="73" t="str">
        <x:v>S05</x:v>
      </x:c>
      <x:c r="C15" s="73" t="str">
        <x:v>productos</x:v>
      </x:c>
      <x:c r="D15" s="77" t="n">
        <x:v>2</x:v>
      </x:c>
      <x:c r="E15" s="73" t="str">
        <x:v>pendiente</x:v>
      </x:c>
      <x:c r="F15" s="75"/>
      <x:c r="G15" s="73"/>
      <x:c r="H15" s="73"/>
      <x:c r="I15" s="77"/>
      <x:c r="J15" s="73"/>
      <x:c r="K15" s="73"/>
      <x:c r="L15" s="73"/>
      <x:c r="M15" s="73"/>
      <x:c r="N15" s="73"/>
      <x:c r="O15" s="73"/>
      <x:c r="P15" s="73"/>
    </x:row>
    <x:row r="16">
      <x:c r="A16" s="73" t="str">
        <x:v>S05-T3</x:v>
      </x:c>
      <x:c r="B16" s="73" t="str">
        <x:v>S05</x:v>
      </x:c>
      <x:c r="C16" s="73" t="str">
        <x:v>productos</x:v>
      </x:c>
      <x:c r="D16" s="77" t="n">
        <x:v>3</x:v>
      </x:c>
      <x:c r="E16" s="73" t="str">
        <x:v>pendiente</x:v>
      </x:c>
      <x:c r="F16" s="75"/>
      <x:c r="G16" s="73"/>
      <x:c r="H16" s="73"/>
      <x:c r="I16" s="77"/>
      <x:c r="J16" s="73"/>
      <x:c r="K16" s="73"/>
      <x:c r="L16" s="73"/>
      <x:c r="M16" s="73"/>
      <x:c r="N16" s="73"/>
      <x:c r="O16" s="73"/>
      <x:c r="P16" s="73"/>
    </x:row>
    <x:row r="17">
      <x:c r="A17" s="73" t="str">
        <x:v>S06-T1</x:v>
      </x:c>
      <x:c r="B17" s="73" t="str">
        <x:v>S06</x:v>
      </x:c>
      <x:c r="C17" s="73" t="str">
        <x:v>productos</x:v>
      </x:c>
      <x:c r="D17" s="77" t="n">
        <x:v>1</x:v>
      </x:c>
      <x:c r="E17" s="73" t="str">
        <x:v>pendiente</x:v>
      </x:c>
      <x:c r="F17" s="75"/>
      <x:c r="G17" s="73"/>
      <x:c r="H17" s="73"/>
      <x:c r="I17" s="77"/>
      <x:c r="J17" s="73"/>
      <x:c r="K17" s="73"/>
      <x:c r="L17" s="73"/>
      <x:c r="M17" s="73"/>
      <x:c r="N17" s="73"/>
      <x:c r="O17" s="73"/>
      <x:c r="P17" s="73"/>
    </x:row>
    <x:row r="18">
      <x:c r="A18" s="73" t="str">
        <x:v>S06-T2</x:v>
      </x:c>
      <x:c r="B18" s="73" t="str">
        <x:v>S06</x:v>
      </x:c>
      <x:c r="C18" s="73" t="str">
        <x:v>productos</x:v>
      </x:c>
      <x:c r="D18" s="77" t="n">
        <x:v>2</x:v>
      </x:c>
      <x:c r="E18" s="73" t="str">
        <x:v>pendiente</x:v>
      </x:c>
      <x:c r="F18" s="75"/>
      <x:c r="G18" s="73"/>
      <x:c r="H18" s="73"/>
      <x:c r="I18" s="77"/>
      <x:c r="J18" s="73"/>
      <x:c r="K18" s="73"/>
      <x:c r="L18" s="73"/>
      <x:c r="M18" s="73"/>
      <x:c r="N18" s="73"/>
      <x:c r="O18" s="73"/>
      <x:c r="P18" s="73"/>
    </x:row>
    <x:row r="19">
      <x:c r="A19" s="73" t="str">
        <x:v>S06-T3</x:v>
      </x:c>
      <x:c r="B19" s="73" t="str">
        <x:v>S06</x:v>
      </x:c>
      <x:c r="C19" s="73" t="str">
        <x:v>productos</x:v>
      </x:c>
      <x:c r="D19" s="77" t="n">
        <x:v>3</x:v>
      </x:c>
      <x:c r="E19" s="73" t="str">
        <x:v>pendiente</x:v>
      </x:c>
      <x:c r="F19" s="75"/>
      <x:c r="G19" s="73"/>
      <x:c r="H19" s="73"/>
      <x:c r="I19" s="77"/>
      <x:c r="J19" s="73"/>
      <x:c r="K19" s="73"/>
      <x:c r="L19" s="73"/>
      <x:c r="M19" s="73"/>
      <x:c r="N19" s="73"/>
      <x:c r="O19" s="73"/>
      <x:c r="P19" s="73"/>
    </x:row>
    <x:row r="20">
      <x:c r="A20" s="73" t="str">
        <x:v>S07-T1</x:v>
      </x:c>
      <x:c r="B20" s="73" t="str">
        <x:v>S07</x:v>
      </x:c>
      <x:c r="C20" s="73" t="str">
        <x:v>productos</x:v>
      </x:c>
      <x:c r="D20" s="77" t="n">
        <x:v>1</x:v>
      </x:c>
      <x:c r="E20" s="73" t="str">
        <x:v>pendiente</x:v>
      </x:c>
      <x:c r="F20" s="75"/>
      <x:c r="G20" s="73"/>
      <x:c r="H20" s="73"/>
      <x:c r="I20" s="77"/>
      <x:c r="J20" s="73"/>
      <x:c r="K20" s="73"/>
      <x:c r="L20" s="73"/>
      <x:c r="M20" s="73"/>
      <x:c r="N20" s="73"/>
      <x:c r="O20" s="73"/>
      <x:c r="P20" s="73"/>
    </x:row>
    <x:row r="21">
      <x:c r="A21" s="73" t="str">
        <x:v>S07-T2</x:v>
      </x:c>
      <x:c r="B21" s="73" t="str">
        <x:v>S07</x:v>
      </x:c>
      <x:c r="C21" s="73" t="str">
        <x:v>productos</x:v>
      </x:c>
      <x:c r="D21" s="77" t="n">
        <x:v>2</x:v>
      </x:c>
      <x:c r="E21" s="73" t="str">
        <x:v>pendiente</x:v>
      </x:c>
      <x:c r="F21" s="75"/>
      <x:c r="G21" s="73"/>
      <x:c r="H21" s="73"/>
      <x:c r="I21" s="77"/>
      <x:c r="J21" s="73"/>
      <x:c r="K21" s="73"/>
      <x:c r="L21" s="73"/>
      <x:c r="M21" s="73"/>
      <x:c r="N21" s="73"/>
      <x:c r="O21" s="73"/>
      <x:c r="P21" s="73"/>
    </x:row>
    <x:row r="22">
      <x:c r="A22" s="73" t="str">
        <x:v>S07-T3</x:v>
      </x:c>
      <x:c r="B22" s="73" t="str">
        <x:v>S07</x:v>
      </x:c>
      <x:c r="C22" s="73" t="str">
        <x:v>productos</x:v>
      </x:c>
      <x:c r="D22" s="77" t="n">
        <x:v>3</x:v>
      </x:c>
      <x:c r="E22" s="73" t="str">
        <x:v>pendiente</x:v>
      </x:c>
      <x:c r="F22" s="75"/>
      <x:c r="G22" s="73"/>
      <x:c r="H22" s="73"/>
      <x:c r="I22" s="77"/>
      <x:c r="J22" s="73"/>
      <x:c r="K22" s="73"/>
      <x:c r="L22" s="73"/>
      <x:c r="M22" s="73"/>
      <x:c r="N22" s="73"/>
      <x:c r="O22" s="73"/>
      <x:c r="P22" s="73"/>
    </x:row>
    <x:row r="23">
      <x:c r="A23" s="73" t="str">
        <x:v>S08-T1</x:v>
      </x:c>
      <x:c r="B23" s="73" t="str">
        <x:v>S08</x:v>
      </x:c>
      <x:c r="C23" s="73" t="str">
        <x:v>productos</x:v>
      </x:c>
      <x:c r="D23" s="77" t="n">
        <x:v>1</x:v>
      </x:c>
      <x:c r="E23" s="73" t="str">
        <x:v>pendiente</x:v>
      </x:c>
      <x:c r="F23" s="75"/>
      <x:c r="G23" s="73"/>
      <x:c r="H23" s="73"/>
      <x:c r="I23" s="77"/>
      <x:c r="J23" s="73"/>
      <x:c r="K23" s="73"/>
      <x:c r="L23" s="73"/>
      <x:c r="M23" s="73"/>
      <x:c r="N23" s="73"/>
      <x:c r="O23" s="73"/>
      <x:c r="P23" s="73"/>
    </x:row>
    <x:row r="24">
      <x:c r="A24" s="73" t="str">
        <x:v>S08-T2</x:v>
      </x:c>
      <x:c r="B24" s="73" t="str">
        <x:v>S08</x:v>
      </x:c>
      <x:c r="C24" s="73" t="str">
        <x:v>productos</x:v>
      </x:c>
      <x:c r="D24" s="77" t="n">
        <x:v>2</x:v>
      </x:c>
      <x:c r="E24" s="73" t="str">
        <x:v>pendiente</x:v>
      </x:c>
      <x:c r="F24" s="75"/>
      <x:c r="G24" s="73"/>
      <x:c r="H24" s="73"/>
      <x:c r="I24" s="77"/>
      <x:c r="J24" s="73"/>
      <x:c r="K24" s="73"/>
      <x:c r="L24" s="73"/>
      <x:c r="M24" s="73"/>
      <x:c r="N24" s="73"/>
      <x:c r="O24" s="73"/>
      <x:c r="P24" s="73"/>
    </x:row>
    <x:row r="25">
      <x:c r="A25" s="73" t="str">
        <x:v>S08-T3</x:v>
      </x:c>
      <x:c r="B25" s="73" t="str">
        <x:v>S08</x:v>
      </x:c>
      <x:c r="C25" s="73" t="str">
        <x:v>productos</x:v>
      </x:c>
      <x:c r="D25" s="77" t="n">
        <x:v>3</x:v>
      </x:c>
      <x:c r="E25" s="73" t="str">
        <x:v>pendiente</x:v>
      </x:c>
      <x:c r="F25" s="75"/>
      <x:c r="G25" s="73"/>
      <x:c r="H25" s="73"/>
      <x:c r="I25" s="77"/>
      <x:c r="J25" s="73"/>
      <x:c r="K25" s="73"/>
      <x:c r="L25" s="73"/>
      <x:c r="M25" s="73"/>
      <x:c r="N25" s="73"/>
      <x:c r="O25" s="73"/>
      <x:c r="P25" s="73"/>
    </x:row>
    <x:row r="26">
      <x:c r="A26" s="73" t="str">
        <x:v>S09-T1</x:v>
      </x:c>
      <x:c r="B26" s="73" t="str">
        <x:v>S09</x:v>
      </x:c>
      <x:c r="C26" s="73" t="str">
        <x:v>comida_encargo</x:v>
      </x:c>
      <x:c r="D26" s="77" t="n">
        <x:v>1</x:v>
      </x:c>
      <x:c r="E26" s="73" t="str">
        <x:v>pendiente</x:v>
      </x:c>
      <x:c r="F26" s="75"/>
      <x:c r="G26" s="73"/>
      <x:c r="H26" s="73"/>
      <x:c r="I26" s="77"/>
      <x:c r="J26" s="73"/>
      <x:c r="K26" s="73"/>
      <x:c r="L26" s="73"/>
      <x:c r="M26" s="73"/>
      <x:c r="N26" s="73"/>
      <x:c r="O26" s="73"/>
      <x:c r="P26" s="73"/>
    </x:row>
    <x:row r="27">
      <x:c r="A27" s="73" t="str">
        <x:v>S09-T2</x:v>
      </x:c>
      <x:c r="B27" s="73" t="str">
        <x:v>S09</x:v>
      </x:c>
      <x:c r="C27" s="73" t="str">
        <x:v>comida_encargo</x:v>
      </x:c>
      <x:c r="D27" s="77" t="n">
        <x:v>2</x:v>
      </x:c>
      <x:c r="E27" s="73" t="str">
        <x:v>pendiente</x:v>
      </x:c>
      <x:c r="F27" s="75"/>
      <x:c r="G27" s="73"/>
      <x:c r="H27" s="73"/>
      <x:c r="I27" s="77"/>
      <x:c r="J27" s="73"/>
      <x:c r="K27" s="73"/>
      <x:c r="L27" s="73"/>
      <x:c r="M27" s="73"/>
      <x:c r="N27" s="73"/>
      <x:c r="O27" s="73"/>
      <x:c r="P27" s="73"/>
    </x:row>
    <x:row r="28">
      <x:c r="A28" s="73" t="str">
        <x:v>S09-T3</x:v>
      </x:c>
      <x:c r="B28" s="73" t="str">
        <x:v>S09</x:v>
      </x:c>
      <x:c r="C28" s="73" t="str">
        <x:v>comida_encargo</x:v>
      </x:c>
      <x:c r="D28" s="77" t="n">
        <x:v>3</x:v>
      </x:c>
      <x:c r="E28" s="73" t="str">
        <x:v>pendiente</x:v>
      </x:c>
      <x:c r="F28" s="75"/>
      <x:c r="G28" s="73"/>
      <x:c r="H28" s="73"/>
      <x:c r="I28" s="77"/>
      <x:c r="J28" s="73"/>
      <x:c r="K28" s="73"/>
      <x:c r="L28" s="73"/>
      <x:c r="M28" s="73"/>
      <x:c r="N28" s="73"/>
      <x:c r="O28" s="73"/>
      <x:c r="P28" s="73"/>
    </x:row>
    <x:row r="29">
      <x:c r="A29" s="73" t="str">
        <x:v>S10-T1</x:v>
      </x:c>
      <x:c r="B29" s="73" t="str">
        <x:v>S10</x:v>
      </x:c>
      <x:c r="C29" s="73" t="str">
        <x:v>comida_encargo</x:v>
      </x:c>
      <x:c r="D29" s="77" t="n">
        <x:v>1</x:v>
      </x:c>
      <x:c r="E29" s="73" t="str">
        <x:v>pendiente</x:v>
      </x:c>
      <x:c r="F29" s="75"/>
      <x:c r="G29" s="73"/>
      <x:c r="H29" s="73"/>
      <x:c r="I29" s="77"/>
      <x:c r="J29" s="73"/>
      <x:c r="K29" s="73"/>
      <x:c r="L29" s="73"/>
      <x:c r="M29" s="73"/>
      <x:c r="N29" s="73"/>
      <x:c r="O29" s="73"/>
      <x:c r="P29" s="73"/>
    </x:row>
    <x:row r="30">
      <x:c r="A30" s="73" t="str">
        <x:v>S10-T2</x:v>
      </x:c>
      <x:c r="B30" s="73" t="str">
        <x:v>S10</x:v>
      </x:c>
      <x:c r="C30" s="73" t="str">
        <x:v>comida_encargo</x:v>
      </x:c>
      <x:c r="D30" s="77" t="n">
        <x:v>2</x:v>
      </x:c>
      <x:c r="E30" s="73" t="str">
        <x:v>pendiente</x:v>
      </x:c>
      <x:c r="F30" s="75"/>
      <x:c r="G30" s="73"/>
      <x:c r="H30" s="73"/>
      <x:c r="I30" s="77"/>
      <x:c r="J30" s="73"/>
      <x:c r="K30" s="73"/>
      <x:c r="L30" s="73"/>
      <x:c r="M30" s="73"/>
      <x:c r="N30" s="73"/>
      <x:c r="O30" s="73"/>
      <x:c r="P30" s="73"/>
    </x:row>
    <x:row r="31">
      <x:c r="A31" s="73" t="str">
        <x:v>S10-T3</x:v>
      </x:c>
      <x:c r="B31" s="73" t="str">
        <x:v>S10</x:v>
      </x:c>
      <x:c r="C31" s="73" t="str">
        <x:v>comida_encargo</x:v>
      </x:c>
      <x:c r="D31" s="77" t="n">
        <x:v>3</x:v>
      </x:c>
      <x:c r="E31" s="73" t="str">
        <x:v>pendiente</x:v>
      </x:c>
      <x:c r="F31" s="75"/>
      <x:c r="G31" s="73"/>
      <x:c r="H31" s="73"/>
      <x:c r="I31" s="77"/>
      <x:c r="J31" s="73"/>
      <x:c r="K31" s="73"/>
      <x:c r="L31" s="73"/>
      <x:c r="M31" s="73"/>
      <x:c r="N31" s="73"/>
      <x:c r="O31" s="73"/>
      <x:c r="P31" s="73"/>
    </x:row>
    <x:row r="32">
      <x:c r="A32" s="73" t="str">
        <x:v>S11-T1</x:v>
      </x:c>
      <x:c r="B32" s="73" t="str">
        <x:v>S11</x:v>
      </x:c>
      <x:c r="C32" s="73" t="str">
        <x:v>comida_encargo</x:v>
      </x:c>
      <x:c r="D32" s="77" t="n">
        <x:v>1</x:v>
      </x:c>
      <x:c r="E32" s="73" t="str">
        <x:v>pendiente</x:v>
      </x:c>
      <x:c r="F32" s="75"/>
      <x:c r="G32" s="73"/>
      <x:c r="H32" s="73"/>
      <x:c r="I32" s="77"/>
      <x:c r="J32" s="73"/>
      <x:c r="K32" s="73"/>
      <x:c r="L32" s="73"/>
      <x:c r="M32" s="73"/>
      <x:c r="N32" s="73"/>
      <x:c r="O32" s="73"/>
      <x:c r="P32" s="73"/>
    </x:row>
    <x:row r="33">
      <x:c r="A33" s="73" t="str">
        <x:v>S11-T2</x:v>
      </x:c>
      <x:c r="B33" s="73" t="str">
        <x:v>S11</x:v>
      </x:c>
      <x:c r="C33" s="73" t="str">
        <x:v>comida_encargo</x:v>
      </x:c>
      <x:c r="D33" s="77" t="n">
        <x:v>2</x:v>
      </x:c>
      <x:c r="E33" s="73" t="str">
        <x:v>pendiente</x:v>
      </x:c>
      <x:c r="F33" s="75"/>
      <x:c r="G33" s="73"/>
      <x:c r="H33" s="73"/>
      <x:c r="I33" s="77"/>
      <x:c r="J33" s="73"/>
      <x:c r="K33" s="73"/>
      <x:c r="L33" s="73"/>
      <x:c r="M33" s="73"/>
      <x:c r="N33" s="73"/>
      <x:c r="O33" s="73"/>
      <x:c r="P33" s="73"/>
    </x:row>
    <x:row r="34">
      <x:c r="A34" s="73" t="str">
        <x:v>S11-T3</x:v>
      </x:c>
      <x:c r="B34" s="73" t="str">
        <x:v>S11</x:v>
      </x:c>
      <x:c r="C34" s="73" t="str">
        <x:v>comida_encargo</x:v>
      </x:c>
      <x:c r="D34" s="77" t="n">
        <x:v>3</x:v>
      </x:c>
      <x:c r="E34" s="73" t="str">
        <x:v>pendiente</x:v>
      </x:c>
      <x:c r="F34" s="75"/>
      <x:c r="G34" s="73"/>
      <x:c r="H34" s="73"/>
      <x:c r="I34" s="77"/>
      <x:c r="J34" s="73"/>
      <x:c r="K34" s="73"/>
      <x:c r="L34" s="73"/>
      <x:c r="M34" s="73"/>
      <x:c r="N34" s="73"/>
      <x:c r="O34" s="73"/>
      <x:c r="P34" s="73"/>
    </x:row>
    <x:row r="35">
      <x:c r="A35" s="73" t="str">
        <x:v>S12-T1</x:v>
      </x:c>
      <x:c r="B35" s="73" t="str">
        <x:v>S12</x:v>
      </x:c>
      <x:c r="C35" s="73" t="str">
        <x:v>comida_encargo</x:v>
      </x:c>
      <x:c r="D35" s="77" t="n">
        <x:v>1</x:v>
      </x:c>
      <x:c r="E35" s="73" t="str">
        <x:v>pendiente</x:v>
      </x:c>
      <x:c r="F35" s="75"/>
      <x:c r="G35" s="73"/>
      <x:c r="H35" s="73"/>
      <x:c r="I35" s="77"/>
      <x:c r="J35" s="73"/>
      <x:c r="K35" s="73"/>
      <x:c r="L35" s="73"/>
      <x:c r="M35" s="73"/>
      <x:c r="N35" s="73"/>
      <x:c r="O35" s="73"/>
      <x:c r="P35" s="73"/>
    </x:row>
    <x:row r="36">
      <x:c r="A36" s="73" t="str">
        <x:v>S12-T2</x:v>
      </x:c>
      <x:c r="B36" s="73" t="str">
        <x:v>S12</x:v>
      </x:c>
      <x:c r="C36" s="73" t="str">
        <x:v>comida_encargo</x:v>
      </x:c>
      <x:c r="D36" s="77" t="n">
        <x:v>2</x:v>
      </x:c>
      <x:c r="E36" s="73" t="str">
        <x:v>pendiente</x:v>
      </x:c>
      <x:c r="F36" s="75"/>
      <x:c r="G36" s="73"/>
      <x:c r="H36" s="73"/>
      <x:c r="I36" s="77"/>
      <x:c r="J36" s="73"/>
      <x:c r="K36" s="73"/>
      <x:c r="L36" s="73"/>
      <x:c r="M36" s="73"/>
      <x:c r="N36" s="73"/>
      <x:c r="O36" s="73"/>
      <x:c r="P36" s="73"/>
    </x:row>
    <x:row r="37">
      <x:c r="A37" s="73" t="str">
        <x:v>S12-T3</x:v>
      </x:c>
      <x:c r="B37" s="73" t="str">
        <x:v>S12</x:v>
      </x:c>
      <x:c r="C37" s="73" t="str">
        <x:v>comida_encargo</x:v>
      </x:c>
      <x:c r="D37" s="77" t="n">
        <x:v>3</x:v>
      </x:c>
      <x:c r="E37" s="73" t="str">
        <x:v>pendiente</x:v>
      </x:c>
      <x:c r="F37" s="75"/>
      <x:c r="G37" s="73"/>
      <x:c r="H37" s="73"/>
      <x:c r="I37" s="77"/>
      <x:c r="J37" s="73"/>
      <x:c r="K37" s="73"/>
      <x:c r="L37" s="73"/>
      <x:c r="M37" s="73"/>
      <x:c r="N37" s="73"/>
      <x:c r="O37" s="73"/>
      <x:c r="P37" s="73"/>
    </x:row>
    <x:row r="38">
      <x:c r="A38" s="73" t="str">
        <x:v>S13-T1</x:v>
      </x:c>
      <x:c r="B38" s="73" t="str">
        <x:v>S13</x:v>
      </x:c>
      <x:c r="C38" s="73" t="str">
        <x:v>comida_encargo</x:v>
      </x:c>
      <x:c r="D38" s="77" t="n">
        <x:v>1</x:v>
      </x:c>
      <x:c r="E38" s="73" t="str">
        <x:v>pendiente</x:v>
      </x:c>
      <x:c r="F38" s="75"/>
      <x:c r="G38" s="73"/>
      <x:c r="H38" s="73"/>
      <x:c r="I38" s="77"/>
      <x:c r="J38" s="73"/>
      <x:c r="K38" s="73"/>
      <x:c r="L38" s="73"/>
      <x:c r="M38" s="73"/>
      <x:c r="N38" s="73"/>
      <x:c r="O38" s="73"/>
      <x:c r="P38" s="73"/>
    </x:row>
    <x:row r="39">
      <x:c r="A39" s="73" t="str">
        <x:v>S13-T2</x:v>
      </x:c>
      <x:c r="B39" s="73" t="str">
        <x:v>S13</x:v>
      </x:c>
      <x:c r="C39" s="73" t="str">
        <x:v>comida_encargo</x:v>
      </x:c>
      <x:c r="D39" s="77" t="n">
        <x:v>2</x:v>
      </x:c>
      <x:c r="E39" s="73" t="str">
        <x:v>pendiente</x:v>
      </x:c>
      <x:c r="F39" s="75"/>
      <x:c r="G39" s="73"/>
      <x:c r="H39" s="73"/>
      <x:c r="I39" s="77"/>
      <x:c r="J39" s="73"/>
      <x:c r="K39" s="73"/>
      <x:c r="L39" s="73"/>
      <x:c r="M39" s="73"/>
      <x:c r="N39" s="73"/>
      <x:c r="O39" s="73"/>
      <x:c r="P39" s="73"/>
    </x:row>
    <x:row r="40">
      <x:c r="A40" s="73" t="str">
        <x:v>S13-T3</x:v>
      </x:c>
      <x:c r="B40" s="73" t="str">
        <x:v>S13</x:v>
      </x:c>
      <x:c r="C40" s="73" t="str">
        <x:v>comida_encargo</x:v>
      </x:c>
      <x:c r="D40" s="77" t="n">
        <x:v>3</x:v>
      </x:c>
      <x:c r="E40" s="73" t="str">
        <x:v>pendiente</x:v>
      </x:c>
      <x:c r="F40" s="75"/>
      <x:c r="G40" s="73"/>
      <x:c r="H40" s="73"/>
      <x:c r="I40" s="77"/>
      <x:c r="J40" s="73"/>
      <x:c r="K40" s="73"/>
      <x:c r="L40" s="73"/>
      <x:c r="M40" s="73"/>
      <x:c r="N40" s="73"/>
      <x:c r="O40" s="73"/>
      <x:c r="P40" s="73"/>
    </x:row>
    <x:row r="41">
      <x:c r="A41" s="73" t="str">
        <x:v>S14-T1</x:v>
      </x:c>
      <x:c r="B41" s="73" t="str">
        <x:v>S14</x:v>
      </x:c>
      <x:c r="C41" s="73" t="str">
        <x:v>comida_encargo</x:v>
      </x:c>
      <x:c r="D41" s="77" t="n">
        <x:v>1</x:v>
      </x:c>
      <x:c r="E41" s="73" t="str">
        <x:v>pendiente</x:v>
      </x:c>
      <x:c r="F41" s="75"/>
      <x:c r="G41" s="73"/>
      <x:c r="H41" s="73"/>
      <x:c r="I41" s="77"/>
      <x:c r="J41" s="73"/>
      <x:c r="K41" s="73"/>
      <x:c r="L41" s="73"/>
      <x:c r="M41" s="73"/>
      <x:c r="N41" s="73"/>
      <x:c r="O41" s="73"/>
      <x:c r="P41" s="73"/>
    </x:row>
    <x:row r="42">
      <x:c r="A42" s="73" t="str">
        <x:v>S14-T2</x:v>
      </x:c>
      <x:c r="B42" s="73" t="str">
        <x:v>S14</x:v>
      </x:c>
      <x:c r="C42" s="73" t="str">
        <x:v>comida_encargo</x:v>
      </x:c>
      <x:c r="D42" s="77" t="n">
        <x:v>2</x:v>
      </x:c>
      <x:c r="E42" s="73" t="str">
        <x:v>pendiente</x:v>
      </x:c>
      <x:c r="F42" s="75"/>
      <x:c r="G42" s="73"/>
      <x:c r="H42" s="73"/>
      <x:c r="I42" s="77"/>
      <x:c r="J42" s="73"/>
      <x:c r="K42" s="73"/>
      <x:c r="L42" s="73"/>
      <x:c r="M42" s="73"/>
      <x:c r="N42" s="73"/>
      <x:c r="O42" s="73"/>
      <x:c r="P42" s="73"/>
    </x:row>
    <x:row r="43">
      <x:c r="A43" s="73" t="str">
        <x:v>S14-T3</x:v>
      </x:c>
      <x:c r="B43" s="73" t="str">
        <x:v>S14</x:v>
      </x:c>
      <x:c r="C43" s="73" t="str">
        <x:v>comida_encargo</x:v>
      </x:c>
      <x:c r="D43" s="77" t="n">
        <x:v>3</x:v>
      </x:c>
      <x:c r="E43" s="73" t="str">
        <x:v>pendiente</x:v>
      </x:c>
      <x:c r="F43" s="75"/>
      <x:c r="G43" s="73"/>
      <x:c r="H43" s="73"/>
      <x:c r="I43" s="77"/>
      <x:c r="J43" s="73"/>
      <x:c r="K43" s="73"/>
      <x:c r="L43" s="73"/>
      <x:c r="M43" s="73"/>
      <x:c r="N43" s="73"/>
      <x:c r="O43" s="73"/>
      <x:c r="P43" s="73"/>
    </x:row>
    <x:row r="44">
      <x:c r="A44" s="73" t="str">
        <x:v>S15-T1</x:v>
      </x:c>
      <x:c r="B44" s="73" t="str">
        <x:v>S15</x:v>
      </x:c>
      <x:c r="C44" s="73" t="str">
        <x:v>comida_encargo</x:v>
      </x:c>
      <x:c r="D44" s="77" t="n">
        <x:v>1</x:v>
      </x:c>
      <x:c r="E44" s="73" t="str">
        <x:v>pendiente</x:v>
      </x:c>
      <x:c r="F44" s="75"/>
      <x:c r="G44" s="73"/>
      <x:c r="H44" s="73"/>
      <x:c r="I44" s="77"/>
      <x:c r="J44" s="73"/>
      <x:c r="K44" s="73"/>
      <x:c r="L44" s="73"/>
      <x:c r="M44" s="73"/>
      <x:c r="N44" s="73"/>
      <x:c r="O44" s="73"/>
      <x:c r="P44" s="73"/>
    </x:row>
    <x:row r="45">
      <x:c r="A45" s="73" t="str">
        <x:v>S15-T2</x:v>
      </x:c>
      <x:c r="B45" s="73" t="str">
        <x:v>S15</x:v>
      </x:c>
      <x:c r="C45" s="73" t="str">
        <x:v>comida_encargo</x:v>
      </x:c>
      <x:c r="D45" s="77" t="n">
        <x:v>2</x:v>
      </x:c>
      <x:c r="E45" s="73" t="str">
        <x:v>pendiente</x:v>
      </x:c>
      <x:c r="F45" s="75"/>
      <x:c r="G45" s="73"/>
      <x:c r="H45" s="73"/>
      <x:c r="I45" s="77"/>
      <x:c r="J45" s="73"/>
      <x:c r="K45" s="73"/>
      <x:c r="L45" s="73"/>
      <x:c r="M45" s="73"/>
      <x:c r="N45" s="73"/>
      <x:c r="O45" s="73"/>
      <x:c r="P45" s="73"/>
    </x:row>
    <x:row r="46">
      <x:c r="A46" s="73" t="str">
        <x:v>S15-T3</x:v>
      </x:c>
      <x:c r="B46" s="73" t="str">
        <x:v>S15</x:v>
      </x:c>
      <x:c r="C46" s="73" t="str">
        <x:v>comida_encargo</x:v>
      </x:c>
      <x:c r="D46" s="77" t="n">
        <x:v>3</x:v>
      </x:c>
      <x:c r="E46" s="73" t="str">
        <x:v>pendiente</x:v>
      </x:c>
      <x:c r="F46" s="75"/>
      <x:c r="G46" s="73"/>
      <x:c r="H46" s="73"/>
      <x:c r="I46" s="77"/>
      <x:c r="J46" s="73"/>
      <x:c r="K46" s="73"/>
      <x:c r="L46" s="73"/>
      <x:c r="M46" s="73"/>
      <x:c r="N46" s="73"/>
      <x:c r="O46" s="73"/>
      <x:c r="P46" s="73"/>
    </x:row>
    <x:row r="47">
      <x:c r="A47" s="73" t="str">
        <x:v>S16-T1</x:v>
      </x:c>
      <x:c r="B47" s="73" t="str">
        <x:v>S16</x:v>
      </x:c>
      <x:c r="C47" s="73" t="str">
        <x:v>comida_encargo</x:v>
      </x:c>
      <x:c r="D47" s="77" t="n">
        <x:v>1</x:v>
      </x:c>
      <x:c r="E47" s="73" t="str">
        <x:v>pendiente</x:v>
      </x:c>
      <x:c r="F47" s="75"/>
      <x:c r="G47" s="73"/>
      <x:c r="H47" s="73"/>
      <x:c r="I47" s="77"/>
      <x:c r="J47" s="73"/>
      <x:c r="K47" s="73"/>
      <x:c r="L47" s="73"/>
      <x:c r="M47" s="73"/>
      <x:c r="N47" s="73"/>
      <x:c r="O47" s="73"/>
      <x:c r="P47" s="73"/>
    </x:row>
    <x:row r="48">
      <x:c r="A48" s="73" t="str">
        <x:v>S16-T2</x:v>
      </x:c>
      <x:c r="B48" s="73" t="str">
        <x:v>S16</x:v>
      </x:c>
      <x:c r="C48" s="73" t="str">
        <x:v>comida_encargo</x:v>
      </x:c>
      <x:c r="D48" s="77" t="n">
        <x:v>2</x:v>
      </x:c>
      <x:c r="E48" s="73" t="str">
        <x:v>pendiente</x:v>
      </x:c>
      <x:c r="F48" s="75"/>
      <x:c r="G48" s="73"/>
      <x:c r="H48" s="73"/>
      <x:c r="I48" s="77"/>
      <x:c r="J48" s="73"/>
      <x:c r="K48" s="73"/>
      <x:c r="L48" s="73"/>
      <x:c r="M48" s="73"/>
      <x:c r="N48" s="73"/>
      <x:c r="O48" s="73"/>
      <x:c r="P48" s="73"/>
    </x:row>
    <x:row r="49">
      <x:c r="A49" s="73" t="str">
        <x:v>S16-T3</x:v>
      </x:c>
      <x:c r="B49" s="73" t="str">
        <x:v>S16</x:v>
      </x:c>
      <x:c r="C49" s="73" t="str">
        <x:v>comida_encargo</x:v>
      </x:c>
      <x:c r="D49" s="77" t="n">
        <x:v>3</x:v>
      </x:c>
      <x:c r="E49" s="73" t="str">
        <x:v>pendiente</x:v>
      </x:c>
      <x:c r="F49" s="75"/>
      <x:c r="G49" s="73"/>
      <x:c r="H49" s="73"/>
      <x:c r="I49" s="77"/>
      <x:c r="J49" s="73"/>
      <x:c r="K49" s="73"/>
      <x:c r="L49" s="73"/>
      <x:c r="M49" s="73"/>
      <x:c r="N49" s="73"/>
      <x:c r="O49" s="73"/>
      <x:c r="P49" s="73"/>
    </x:row>
    <x:row r="50">
      <x:c r="A50" s="73" t="str">
        <x:v>S17-T1</x:v>
      </x:c>
      <x:c r="B50" s="73" t="str">
        <x:v>S17</x:v>
      </x:c>
      <x:c r="C50" s="73" t="str">
        <x:v>servicios_digital</x:v>
      </x:c>
      <x:c r="D50" s="77" t="n">
        <x:v>1</x:v>
      </x:c>
      <x:c r="E50" s="73" t="str">
        <x:v>pendiente</x:v>
      </x:c>
      <x:c r="F50" s="75"/>
      <x:c r="G50" s="73"/>
      <x:c r="H50" s="73"/>
      <x:c r="I50" s="77"/>
      <x:c r="J50" s="73"/>
      <x:c r="K50" s="73"/>
      <x:c r="L50" s="73"/>
      <x:c r="M50" s="73"/>
      <x:c r="N50" s="73"/>
      <x:c r="O50" s="73"/>
      <x:c r="P50" s="73"/>
    </x:row>
    <x:row r="51">
      <x:c r="A51" s="73" t="str">
        <x:v>S17-T2</x:v>
      </x:c>
      <x:c r="B51" s="73" t="str">
        <x:v>S17</x:v>
      </x:c>
      <x:c r="C51" s="73" t="str">
        <x:v>servicios_digital</x:v>
      </x:c>
      <x:c r="D51" s="77" t="n">
        <x:v>2</x:v>
      </x:c>
      <x:c r="E51" s="73" t="str">
        <x:v>pendiente</x:v>
      </x:c>
      <x:c r="F51" s="75"/>
      <x:c r="G51" s="73"/>
      <x:c r="H51" s="73"/>
      <x:c r="I51" s="77"/>
      <x:c r="J51" s="73"/>
      <x:c r="K51" s="73"/>
      <x:c r="L51" s="73"/>
      <x:c r="M51" s="73"/>
      <x:c r="N51" s="73"/>
      <x:c r="O51" s="73"/>
      <x:c r="P51" s="73"/>
    </x:row>
    <x:row r="52">
      <x:c r="A52" s="73" t="str">
        <x:v>S17-T3</x:v>
      </x:c>
      <x:c r="B52" s="73" t="str">
        <x:v>S17</x:v>
      </x:c>
      <x:c r="C52" s="73" t="str">
        <x:v>servicios_digital</x:v>
      </x:c>
      <x:c r="D52" s="77" t="n">
        <x:v>3</x:v>
      </x:c>
      <x:c r="E52" s="73" t="str">
        <x:v>pendiente</x:v>
      </x:c>
      <x:c r="F52" s="75"/>
      <x:c r="G52" s="73"/>
      <x:c r="H52" s="73"/>
      <x:c r="I52" s="77"/>
      <x:c r="J52" s="73"/>
      <x:c r="K52" s="73"/>
      <x:c r="L52" s="73"/>
      <x:c r="M52" s="73"/>
      <x:c r="N52" s="73"/>
      <x:c r="O52" s="73"/>
      <x:c r="P52" s="73"/>
    </x:row>
    <x:row r="53">
      <x:c r="A53" s="73" t="str">
        <x:v>S18-T1</x:v>
      </x:c>
      <x:c r="B53" s="73" t="str">
        <x:v>S18</x:v>
      </x:c>
      <x:c r="C53" s="73" t="str">
        <x:v>servicios_digital</x:v>
      </x:c>
      <x:c r="D53" s="77" t="n">
        <x:v>1</x:v>
      </x:c>
      <x:c r="E53" s="73" t="str">
        <x:v>pendiente</x:v>
      </x:c>
      <x:c r="F53" s="75"/>
      <x:c r="G53" s="73"/>
      <x:c r="H53" s="73"/>
      <x:c r="I53" s="77"/>
      <x:c r="J53" s="73"/>
      <x:c r="K53" s="73"/>
      <x:c r="L53" s="73"/>
      <x:c r="M53" s="73"/>
      <x:c r="N53" s="73"/>
      <x:c r="O53" s="73"/>
      <x:c r="P53" s="73"/>
    </x:row>
    <x:row r="54">
      <x:c r="A54" s="73" t="str">
        <x:v>S18-T2</x:v>
      </x:c>
      <x:c r="B54" s="73" t="str">
        <x:v>S18</x:v>
      </x:c>
      <x:c r="C54" s="73" t="str">
        <x:v>servicios_digital</x:v>
      </x:c>
      <x:c r="D54" s="77" t="n">
        <x:v>2</x:v>
      </x:c>
      <x:c r="E54" s="73" t="str">
        <x:v>pendiente</x:v>
      </x:c>
      <x:c r="F54" s="75"/>
      <x:c r="G54" s="73"/>
      <x:c r="H54" s="73"/>
      <x:c r="I54" s="77"/>
      <x:c r="J54" s="73"/>
      <x:c r="K54" s="73"/>
      <x:c r="L54" s="73"/>
      <x:c r="M54" s="73"/>
      <x:c r="N54" s="73"/>
      <x:c r="O54" s="73"/>
      <x:c r="P54" s="73"/>
    </x:row>
    <x:row r="55">
      <x:c r="A55" s="73" t="str">
        <x:v>S18-T3</x:v>
      </x:c>
      <x:c r="B55" s="73" t="str">
        <x:v>S18</x:v>
      </x:c>
      <x:c r="C55" s="73" t="str">
        <x:v>servicios_digital</x:v>
      </x:c>
      <x:c r="D55" s="77" t="n">
        <x:v>3</x:v>
      </x:c>
      <x:c r="E55" s="73" t="str">
        <x:v>pendiente</x:v>
      </x:c>
      <x:c r="F55" s="75"/>
      <x:c r="G55" s="73"/>
      <x:c r="H55" s="73"/>
      <x:c r="I55" s="77"/>
      <x:c r="J55" s="73"/>
      <x:c r="K55" s="73"/>
      <x:c r="L55" s="73"/>
      <x:c r="M55" s="73"/>
      <x:c r="N55" s="73"/>
      <x:c r="O55" s="73"/>
      <x:c r="P55" s="73"/>
    </x:row>
    <x:row r="56">
      <x:c r="A56" s="73" t="str">
        <x:v>S19-T1</x:v>
      </x:c>
      <x:c r="B56" s="73" t="str">
        <x:v>S19</x:v>
      </x:c>
      <x:c r="C56" s="73" t="str">
        <x:v>servicios_digital</x:v>
      </x:c>
      <x:c r="D56" s="77" t="n">
        <x:v>1</x:v>
      </x:c>
      <x:c r="E56" s="73" t="str">
        <x:v>pendiente</x:v>
      </x:c>
      <x:c r="F56" s="75"/>
      <x:c r="G56" s="73"/>
      <x:c r="H56" s="73"/>
      <x:c r="I56" s="77"/>
      <x:c r="J56" s="73"/>
      <x:c r="K56" s="73"/>
      <x:c r="L56" s="73"/>
      <x:c r="M56" s="73"/>
      <x:c r="N56" s="73"/>
      <x:c r="O56" s="73"/>
      <x:c r="P56" s="73"/>
    </x:row>
    <x:row r="57">
      <x:c r="A57" s="73" t="str">
        <x:v>S19-T2</x:v>
      </x:c>
      <x:c r="B57" s="73" t="str">
        <x:v>S19</x:v>
      </x:c>
      <x:c r="C57" s="73" t="str">
        <x:v>servicios_digital</x:v>
      </x:c>
      <x:c r="D57" s="77" t="n">
        <x:v>2</x:v>
      </x:c>
      <x:c r="E57" s="73" t="str">
        <x:v>pendiente</x:v>
      </x:c>
      <x:c r="F57" s="75"/>
      <x:c r="G57" s="73"/>
      <x:c r="H57" s="73"/>
      <x:c r="I57" s="77"/>
      <x:c r="J57" s="73"/>
      <x:c r="K57" s="73"/>
      <x:c r="L57" s="73"/>
      <x:c r="M57" s="73"/>
      <x:c r="N57" s="73"/>
      <x:c r="O57" s="73"/>
      <x:c r="P57" s="73"/>
    </x:row>
    <x:row r="58">
      <x:c r="A58" s="73" t="str">
        <x:v>S19-T3</x:v>
      </x:c>
      <x:c r="B58" s="73" t="str">
        <x:v>S19</x:v>
      </x:c>
      <x:c r="C58" s="73" t="str">
        <x:v>servicios_digital</x:v>
      </x:c>
      <x:c r="D58" s="77" t="n">
        <x:v>3</x:v>
      </x:c>
      <x:c r="E58" s="73" t="str">
        <x:v>pendiente</x:v>
      </x:c>
      <x:c r="F58" s="75"/>
      <x:c r="G58" s="73"/>
      <x:c r="H58" s="73"/>
      <x:c r="I58" s="77"/>
      <x:c r="J58" s="73"/>
      <x:c r="K58" s="73"/>
      <x:c r="L58" s="73"/>
      <x:c r="M58" s="73"/>
      <x:c r="N58" s="73"/>
      <x:c r="O58" s="73"/>
      <x:c r="P58" s="73"/>
    </x:row>
    <x:row r="59">
      <x:c r="A59" s="73" t="str">
        <x:v>S20-T1</x:v>
      </x:c>
      <x:c r="B59" s="73" t="str">
        <x:v>S20</x:v>
      </x:c>
      <x:c r="C59" s="73" t="str">
        <x:v>servicios_digital</x:v>
      </x:c>
      <x:c r="D59" s="77" t="n">
        <x:v>1</x:v>
      </x:c>
      <x:c r="E59" s="73" t="str">
        <x:v>pendiente</x:v>
      </x:c>
      <x:c r="F59" s="75"/>
      <x:c r="G59" s="73"/>
      <x:c r="H59" s="73"/>
      <x:c r="I59" s="77"/>
      <x:c r="J59" s="73"/>
      <x:c r="K59" s="73"/>
      <x:c r="L59" s="73"/>
      <x:c r="M59" s="73"/>
      <x:c r="N59" s="73"/>
      <x:c r="O59" s="73"/>
      <x:c r="P59" s="73"/>
    </x:row>
    <x:row r="60">
      <x:c r="A60" s="73" t="str">
        <x:v>S20-T2</x:v>
      </x:c>
      <x:c r="B60" s="73" t="str">
        <x:v>S20</x:v>
      </x:c>
      <x:c r="C60" s="73" t="str">
        <x:v>servicios_digital</x:v>
      </x:c>
      <x:c r="D60" s="77" t="n">
        <x:v>2</x:v>
      </x:c>
      <x:c r="E60" s="73" t="str">
        <x:v>pendiente</x:v>
      </x:c>
      <x:c r="F60" s="75"/>
      <x:c r="G60" s="73"/>
      <x:c r="H60" s="73"/>
      <x:c r="I60" s="77"/>
      <x:c r="J60" s="73"/>
      <x:c r="K60" s="73"/>
      <x:c r="L60" s="73"/>
      <x:c r="M60" s="73"/>
      <x:c r="N60" s="73"/>
      <x:c r="O60" s="73"/>
      <x:c r="P60" s="73"/>
    </x:row>
    <x:row r="61">
      <x:c r="A61" s="73" t="str">
        <x:v>S20-T3</x:v>
      </x:c>
      <x:c r="B61" s="73" t="str">
        <x:v>S20</x:v>
      </x:c>
      <x:c r="C61" s="73" t="str">
        <x:v>servicios_digital</x:v>
      </x:c>
      <x:c r="D61" s="77" t="n">
        <x:v>3</x:v>
      </x:c>
      <x:c r="E61" s="73" t="str">
        <x:v>pendiente</x:v>
      </x:c>
      <x:c r="F61" s="75"/>
      <x:c r="G61" s="73"/>
      <x:c r="H61" s="73"/>
      <x:c r="I61" s="77"/>
      <x:c r="J61" s="73"/>
      <x:c r="K61" s="73"/>
      <x:c r="L61" s="73"/>
      <x:c r="M61" s="73"/>
      <x:c r="N61" s="73"/>
      <x:c r="O61" s="73"/>
      <x:c r="P61" s="73"/>
    </x:row>
    <x:row r="62">
      <x:c r="A62" s="73" t="str">
        <x:v>S21-T1</x:v>
      </x:c>
      <x:c r="B62" s="73" t="str">
        <x:v>S21</x:v>
      </x:c>
      <x:c r="C62" s="73" t="str">
        <x:v>servicios_digital</x:v>
      </x:c>
      <x:c r="D62" s="77" t="n">
        <x:v>1</x:v>
      </x:c>
      <x:c r="E62" s="73" t="str">
        <x:v>pendiente</x:v>
      </x:c>
      <x:c r="F62" s="75"/>
      <x:c r="G62" s="73"/>
      <x:c r="H62" s="73"/>
      <x:c r="I62" s="77"/>
      <x:c r="J62" s="73"/>
      <x:c r="K62" s="73"/>
      <x:c r="L62" s="73"/>
      <x:c r="M62" s="73"/>
      <x:c r="N62" s="73"/>
      <x:c r="O62" s="73"/>
      <x:c r="P62" s="73"/>
    </x:row>
    <x:row r="63">
      <x:c r="A63" s="73" t="str">
        <x:v>S21-T2</x:v>
      </x:c>
      <x:c r="B63" s="73" t="str">
        <x:v>S21</x:v>
      </x:c>
      <x:c r="C63" s="73" t="str">
        <x:v>servicios_digital</x:v>
      </x:c>
      <x:c r="D63" s="77" t="n">
        <x:v>2</x:v>
      </x:c>
      <x:c r="E63" s="73" t="str">
        <x:v>pendiente</x:v>
      </x:c>
      <x:c r="F63" s="75"/>
      <x:c r="G63" s="73"/>
      <x:c r="H63" s="73"/>
      <x:c r="I63" s="77"/>
      <x:c r="J63" s="73"/>
      <x:c r="K63" s="73"/>
      <x:c r="L63" s="73"/>
      <x:c r="M63" s="73"/>
      <x:c r="N63" s="73"/>
      <x:c r="O63" s="73"/>
      <x:c r="P63" s="73"/>
    </x:row>
    <x:row r="64">
      <x:c r="A64" s="73" t="str">
        <x:v>S21-T3</x:v>
      </x:c>
      <x:c r="B64" s="73" t="str">
        <x:v>S21</x:v>
      </x:c>
      <x:c r="C64" s="73" t="str">
        <x:v>servicios_digital</x:v>
      </x:c>
      <x:c r="D64" s="77" t="n">
        <x:v>3</x:v>
      </x:c>
      <x:c r="E64" s="73" t="str">
        <x:v>pendiente</x:v>
      </x:c>
      <x:c r="F64" s="75"/>
      <x:c r="G64" s="73"/>
      <x:c r="H64" s="73"/>
      <x:c r="I64" s="77"/>
      <x:c r="J64" s="73"/>
      <x:c r="K64" s="73"/>
      <x:c r="L64" s="73"/>
      <x:c r="M64" s="73"/>
      <x:c r="N64" s="73"/>
      <x:c r="O64" s="73"/>
      <x:c r="P64" s="73"/>
    </x:row>
    <x:row r="65">
      <x:c r="A65" s="73" t="str">
        <x:v>S22-T1</x:v>
      </x:c>
      <x:c r="B65" s="73" t="str">
        <x:v>S22</x:v>
      </x:c>
      <x:c r="C65" s="73" t="str">
        <x:v>servicios_digital</x:v>
      </x:c>
      <x:c r="D65" s="77" t="n">
        <x:v>1</x:v>
      </x:c>
      <x:c r="E65" s="73" t="str">
        <x:v>pendiente</x:v>
      </x:c>
      <x:c r="F65" s="75"/>
      <x:c r="G65" s="73"/>
      <x:c r="H65" s="73"/>
      <x:c r="I65" s="77"/>
      <x:c r="J65" s="73"/>
      <x:c r="K65" s="73"/>
      <x:c r="L65" s="73"/>
      <x:c r="M65" s="73"/>
      <x:c r="N65" s="73"/>
      <x:c r="O65" s="73"/>
      <x:c r="P65" s="73"/>
    </x:row>
    <x:row r="66">
      <x:c r="A66" s="73" t="str">
        <x:v>S22-T2</x:v>
      </x:c>
      <x:c r="B66" s="73" t="str">
        <x:v>S22</x:v>
      </x:c>
      <x:c r="C66" s="73" t="str">
        <x:v>servicios_digital</x:v>
      </x:c>
      <x:c r="D66" s="77" t="n">
        <x:v>2</x:v>
      </x:c>
      <x:c r="E66" s="73" t="str">
        <x:v>pendiente</x:v>
      </x:c>
      <x:c r="F66" s="75"/>
      <x:c r="G66" s="73"/>
      <x:c r="H66" s="73"/>
      <x:c r="I66" s="77"/>
      <x:c r="J66" s="73"/>
      <x:c r="K66" s="73"/>
      <x:c r="L66" s="73"/>
      <x:c r="M66" s="73"/>
      <x:c r="N66" s="73"/>
      <x:c r="O66" s="73"/>
      <x:c r="P66" s="73"/>
    </x:row>
    <x:row r="67">
      <x:c r="A67" s="73" t="str">
        <x:v>S22-T3</x:v>
      </x:c>
      <x:c r="B67" s="73" t="str">
        <x:v>S22</x:v>
      </x:c>
      <x:c r="C67" s="73" t="str">
        <x:v>servicios_digital</x:v>
      </x:c>
      <x:c r="D67" s="77" t="n">
        <x:v>3</x:v>
      </x:c>
      <x:c r="E67" s="73" t="str">
        <x:v>pendiente</x:v>
      </x:c>
      <x:c r="F67" s="75"/>
      <x:c r="G67" s="73"/>
      <x:c r="H67" s="73"/>
      <x:c r="I67" s="77"/>
      <x:c r="J67" s="73"/>
      <x:c r="K67" s="73"/>
      <x:c r="L67" s="73"/>
      <x:c r="M67" s="73"/>
      <x:c r="N67" s="73"/>
      <x:c r="O67" s="73"/>
      <x:c r="P67" s="73"/>
    </x:row>
    <x:row r="68">
      <x:c r="A68" s="73" t="str">
        <x:v>S23-T1</x:v>
      </x:c>
      <x:c r="B68" s="73" t="str">
        <x:v>S23</x:v>
      </x:c>
      <x:c r="C68" s="73" t="str">
        <x:v>servicios_digital</x:v>
      </x:c>
      <x:c r="D68" s="77" t="n">
        <x:v>1</x:v>
      </x:c>
      <x:c r="E68" s="73" t="str">
        <x:v>pendiente</x:v>
      </x:c>
      <x:c r="F68" s="75"/>
      <x:c r="G68" s="73"/>
      <x:c r="H68" s="73"/>
      <x:c r="I68" s="77"/>
      <x:c r="J68" s="73"/>
      <x:c r="K68" s="73"/>
      <x:c r="L68" s="73"/>
      <x:c r="M68" s="73"/>
      <x:c r="N68" s="73"/>
      <x:c r="O68" s="73"/>
      <x:c r="P68" s="73"/>
    </x:row>
    <x:row r="69">
      <x:c r="A69" s="73" t="str">
        <x:v>S23-T2</x:v>
      </x:c>
      <x:c r="B69" s="73" t="str">
        <x:v>S23</x:v>
      </x:c>
      <x:c r="C69" s="73" t="str">
        <x:v>servicios_digital</x:v>
      </x:c>
      <x:c r="D69" s="77" t="n">
        <x:v>2</x:v>
      </x:c>
      <x:c r="E69" s="73" t="str">
        <x:v>pendiente</x:v>
      </x:c>
      <x:c r="F69" s="75"/>
      <x:c r="G69" s="73"/>
      <x:c r="H69" s="73"/>
      <x:c r="I69" s="77"/>
      <x:c r="J69" s="73"/>
      <x:c r="K69" s="73"/>
      <x:c r="L69" s="73"/>
      <x:c r="M69" s="73"/>
      <x:c r="N69" s="73"/>
      <x:c r="O69" s="73"/>
      <x:c r="P69" s="73"/>
    </x:row>
    <x:row r="70">
      <x:c r="A70" s="73" t="str">
        <x:v>S23-T3</x:v>
      </x:c>
      <x:c r="B70" s="73" t="str">
        <x:v>S23</x:v>
      </x:c>
      <x:c r="C70" s="73" t="str">
        <x:v>servicios_digital</x:v>
      </x:c>
      <x:c r="D70" s="77" t="n">
        <x:v>3</x:v>
      </x:c>
      <x:c r="E70" s="73" t="str">
        <x:v>pendiente</x:v>
      </x:c>
      <x:c r="F70" s="75"/>
      <x:c r="G70" s="73"/>
      <x:c r="H70" s="73"/>
      <x:c r="I70" s="77"/>
      <x:c r="J70" s="73"/>
      <x:c r="K70" s="73"/>
      <x:c r="L70" s="73"/>
      <x:c r="M70" s="73"/>
      <x:c r="N70" s="73"/>
      <x:c r="O70" s="73"/>
      <x:c r="P70" s="73"/>
    </x:row>
    <x:row r="71">
      <x:c r="A71" s="73" t="str">
        <x:v>S24-T1</x:v>
      </x:c>
      <x:c r="B71" s="73" t="str">
        <x:v>S24</x:v>
      </x:c>
      <x:c r="C71" s="73" t="str">
        <x:v>servicios_digital</x:v>
      </x:c>
      <x:c r="D71" s="77" t="n">
        <x:v>1</x:v>
      </x:c>
      <x:c r="E71" s="73" t="str">
        <x:v>pendiente</x:v>
      </x:c>
      <x:c r="F71" s="75"/>
      <x:c r="G71" s="73"/>
      <x:c r="H71" s="73"/>
      <x:c r="I71" s="77"/>
      <x:c r="J71" s="73"/>
      <x:c r="K71" s="73"/>
      <x:c r="L71" s="73"/>
      <x:c r="M71" s="73"/>
      <x:c r="N71" s="73"/>
      <x:c r="O71" s="73"/>
      <x:c r="P71" s="73"/>
    </x:row>
    <x:row r="72">
      <x:c r="A72" s="73" t="str">
        <x:v>S24-T2</x:v>
      </x:c>
      <x:c r="B72" s="73" t="str">
        <x:v>S24</x:v>
      </x:c>
      <x:c r="C72" s="73" t="str">
        <x:v>servicios_digital</x:v>
      </x:c>
      <x:c r="D72" s="77" t="n">
        <x:v>2</x:v>
      </x:c>
      <x:c r="E72" s="73" t="str">
        <x:v>pendiente</x:v>
      </x:c>
      <x:c r="F72" s="75"/>
      <x:c r="G72" s="73"/>
      <x:c r="H72" s="73"/>
      <x:c r="I72" s="77"/>
      <x:c r="J72" s="73"/>
      <x:c r="K72" s="73"/>
      <x:c r="L72" s="73"/>
      <x:c r="M72" s="73"/>
      <x:c r="N72" s="73"/>
      <x:c r="O72" s="73"/>
      <x:c r="P72" s="73"/>
    </x:row>
    <x:row r="73">
      <x:c r="A73" s="73" t="str">
        <x:v>S24-T3</x:v>
      </x:c>
      <x:c r="B73" s="73" t="str">
        <x:v>S24</x:v>
      </x:c>
      <x:c r="C73" s="73" t="str">
        <x:v>servicios_digital</x:v>
      </x:c>
      <x:c r="D73" s="77" t="n">
        <x:v>3</x:v>
      </x:c>
      <x:c r="E73" s="73" t="str">
        <x:v>pendiente</x:v>
      </x:c>
      <x:c r="F73" s="75"/>
      <x:c r="G73" s="73"/>
      <x:c r="H73" s="73"/>
      <x:c r="I73" s="77"/>
      <x:c r="J73" s="73"/>
      <x:c r="K73" s="73"/>
      <x:c r="L73" s="73"/>
      <x:c r="M73" s="73"/>
      <x:c r="N73" s="73"/>
      <x:c r="O73" s="73"/>
      <x:c r="P73" s="73"/>
    </x:row>
  </x:sheetData>
  <x:conditionalFormatting sqref="E2:E73">
    <x:cfRule type="containsText" dxfId="4" priority="1" operator="containsText" text="observado"/>
    <x:cfRule type="containsText" dxfId="5" priority="2" operator="containsText" text="desconocido"/>
  </x:conditionalFormatting>
  <x:dataValidations count="7">
    <x:dataValidation type="list" sqref="C2:C73">
      <x:formula1>"productos,comida_encargo,servicios_digital"</x:formula1>
    </x:dataValidation>
    <x:dataValidation type="list" sqref="E2:E73">
      <x:formula1>"pendiente,observado,inferido,desconocido"</x:formula1>
    </x:dataValidation>
    <x:dataValidation type="list" sqref="G2:G73">
      <x:formula1>"stocked_product,scheduled_food,local_service,digital_offer"</x:formula1>
    </x:dataValidation>
    <x:dataValidation type="list" sqref="H2:H73">
      <x:formula1>"crear,actualizar,corregir,pausar,republicar"</x:formula1>
    </x:dataValidation>
    <x:dataValidation type="list" sqref="J2:J73">
      <x:formula1>"ninguna,minima,moderada,completa,desconocido"</x:formula1>
    </x:dataValidation>
    <x:dataValidation type="list" sqref="M2:M73">
      <x:formula1>"fixed,from,quote,desconocido"</x:formula1>
    </x:dataValidation>
    <x:dataValidation type="list" sqref="O2:O73">
      <x:formula1>"si,no,desconocido"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1" hidden="0" customWidth="1"/>
    <x:col min="3" max="3" width="22" hidden="0" customWidth="1"/>
    <x:col min="4" max="4" width="18" hidden="0" customWidth="1"/>
    <x:col min="5" max="5" width="20" hidden="0" customWidth="1"/>
    <x:col min="6" max="6" width="21" hidden="0" customWidth="1"/>
    <x:col min="7" max="7" width="18" hidden="0" customWidth="1"/>
    <x:col min="8" max="8" width="14" hidden="0" customWidth="1"/>
    <x:col min="9" max="9" width="19" hidden="0" customWidth="1"/>
    <x:col min="10" max="10" width="19" hidden="0" customWidth="1"/>
    <x:col min="11" max="11" width="16" hidden="0" customWidth="1"/>
    <x:col min="12" max="12" width="34" hidden="0" customWidth="1"/>
  </x:cols>
  <x:sheetData>
    <x:row r="1" ht="42" customHeight="1">
      <x:c r="A1" s="31" t="str">
        <x:v>participante_codigo</x:v>
      </x:c>
      <x:c r="B1" s="32" t="str">
        <x:v>cohorte</x:v>
      </x:c>
      <x:c r="C1" s="32" t="str">
        <x:v>clase_oferta</x:v>
      </x:c>
      <x:c r="D1" s="32" t="str">
        <x:v>estado_evidencia</x:v>
      </x:c>
      <x:c r="E1" s="32" t="str">
        <x:v>fecha_tarea_inicial</x:v>
      </x:c>
      <x:c r="F1" s="32" t="str">
        <x:v>fecha_reconfirmacion</x:v>
      </x:c>
      <x:c r="G1" s="32" t="str">
        <x:v>dias_transcurridos</x:v>
      </x:c>
      <x:c r="H1" s="32" t="str">
        <x:v>reconfirmo</x:v>
      </x:c>
      <x:c r="I1" s="32" t="str">
        <x:v>sin_seguimiento</x:v>
      </x:c>
      <x:c r="J1" s="32" t="str">
        <x:v>duracion_segundos</x:v>
      </x:c>
      <x:c r="K1" s="32" t="str">
        <x:v>asistencia</x:v>
      </x:c>
      <x:c r="L1" s="33" t="str">
        <x:v>desenlace_nota_sin_pii</x:v>
      </x:c>
    </x:row>
    <x:row r="2">
      <x:c r="A2" s="72" t="str">
        <x:v>S01</x:v>
      </x:c>
      <x:c r="B2" s="72" t="str">
        <x:v>productos</x:v>
      </x:c>
      <x:c r="C2" s="72"/>
      <x:c r="D2" s="72" t="str">
        <x:v>pendiente</x:v>
      </x:c>
      <x:c r="E2" s="74"/>
      <x:c r="F2" s="74"/>
      <x:c r="G2" s="76" t="str">
        <x:f>IF(OR(E2="",F2=""),"",F2-E2)</x:f>
      </x:c>
      <x:c r="H2" s="72"/>
      <x:c r="I2" s="72"/>
      <x:c r="J2" s="76"/>
      <x:c r="K2" s="72"/>
      <x:c r="L2" s="72"/>
    </x:row>
    <x:row r="3">
      <x:c r="A3" s="73" t="str">
        <x:v>S02</x:v>
      </x:c>
      <x:c r="B3" s="73" t="str">
        <x:v>productos</x:v>
      </x:c>
      <x:c r="C3" s="73"/>
      <x:c r="D3" s="73" t="str">
        <x:v>pendiente</x:v>
      </x:c>
      <x:c r="E3" s="75"/>
      <x:c r="F3" s="75"/>
      <x:c r="G3" s="77" t="str">
        <x:f>IF(OR(E3="",F3=""),"",F3-E3)</x:f>
      </x:c>
      <x:c r="H3" s="73"/>
      <x:c r="I3" s="73"/>
      <x:c r="J3" s="77"/>
      <x:c r="K3" s="73"/>
      <x:c r="L3" s="73"/>
    </x:row>
    <x:row r="4">
      <x:c r="A4" s="73" t="str">
        <x:v>S03</x:v>
      </x:c>
      <x:c r="B4" s="73" t="str">
        <x:v>productos</x:v>
      </x:c>
      <x:c r="C4" s="73"/>
      <x:c r="D4" s="73" t="str">
        <x:v>pendiente</x:v>
      </x:c>
      <x:c r="E4" s="75"/>
      <x:c r="F4" s="75"/>
      <x:c r="G4" s="77" t="str">
        <x:f>IF(OR(E4="",F4=""),"",F4-E4)</x:f>
      </x:c>
      <x:c r="H4" s="73"/>
      <x:c r="I4" s="73"/>
      <x:c r="J4" s="77"/>
      <x:c r="K4" s="73"/>
      <x:c r="L4" s="73"/>
    </x:row>
    <x:row r="5">
      <x:c r="A5" s="73" t="str">
        <x:v>S04</x:v>
      </x:c>
      <x:c r="B5" s="73" t="str">
        <x:v>productos</x:v>
      </x:c>
      <x:c r="C5" s="73"/>
      <x:c r="D5" s="73" t="str">
        <x:v>pendiente</x:v>
      </x:c>
      <x:c r="E5" s="75"/>
      <x:c r="F5" s="75"/>
      <x:c r="G5" s="77" t="str">
        <x:f>IF(OR(E5="",F5=""),"",F5-E5)</x:f>
      </x:c>
      <x:c r="H5" s="73"/>
      <x:c r="I5" s="73"/>
      <x:c r="J5" s="77"/>
      <x:c r="K5" s="73"/>
      <x:c r="L5" s="73"/>
    </x:row>
    <x:row r="6">
      <x:c r="A6" s="73" t="str">
        <x:v>S05</x:v>
      </x:c>
      <x:c r="B6" s="73" t="str">
        <x:v>productos</x:v>
      </x:c>
      <x:c r="C6" s="73"/>
      <x:c r="D6" s="73" t="str">
        <x:v>pendiente</x:v>
      </x:c>
      <x:c r="E6" s="75"/>
      <x:c r="F6" s="75"/>
      <x:c r="G6" s="77" t="str">
        <x:f>IF(OR(E6="",F6=""),"",F6-E6)</x:f>
      </x:c>
      <x:c r="H6" s="73"/>
      <x:c r="I6" s="73"/>
      <x:c r="J6" s="77"/>
      <x:c r="K6" s="73"/>
      <x:c r="L6" s="73"/>
    </x:row>
    <x:row r="7">
      <x:c r="A7" s="73" t="str">
        <x:v>S06</x:v>
      </x:c>
      <x:c r="B7" s="73" t="str">
        <x:v>productos</x:v>
      </x:c>
      <x:c r="C7" s="73"/>
      <x:c r="D7" s="73" t="str">
        <x:v>pendiente</x:v>
      </x:c>
      <x:c r="E7" s="75"/>
      <x:c r="F7" s="75"/>
      <x:c r="G7" s="77" t="str">
        <x:f>IF(OR(E7="",F7=""),"",F7-E7)</x:f>
      </x:c>
      <x:c r="H7" s="73"/>
      <x:c r="I7" s="73"/>
      <x:c r="J7" s="77"/>
      <x:c r="K7" s="73"/>
      <x:c r="L7" s="73"/>
    </x:row>
    <x:row r="8">
      <x:c r="A8" s="73" t="str">
        <x:v>S07</x:v>
      </x:c>
      <x:c r="B8" s="73" t="str">
        <x:v>productos</x:v>
      </x:c>
      <x:c r="C8" s="73"/>
      <x:c r="D8" s="73" t="str">
        <x:v>pendiente</x:v>
      </x:c>
      <x:c r="E8" s="75"/>
      <x:c r="F8" s="75"/>
      <x:c r="G8" s="77" t="str">
        <x:f>IF(OR(E8="",F8=""),"",F8-E8)</x:f>
      </x:c>
      <x:c r="H8" s="73"/>
      <x:c r="I8" s="73"/>
      <x:c r="J8" s="77"/>
      <x:c r="K8" s="73"/>
      <x:c r="L8" s="73"/>
    </x:row>
    <x:row r="9">
      <x:c r="A9" s="73" t="str">
        <x:v>S08</x:v>
      </x:c>
      <x:c r="B9" s="73" t="str">
        <x:v>productos</x:v>
      </x:c>
      <x:c r="C9" s="73"/>
      <x:c r="D9" s="73" t="str">
        <x:v>pendiente</x:v>
      </x:c>
      <x:c r="E9" s="75"/>
      <x:c r="F9" s="75"/>
      <x:c r="G9" s="77" t="str">
        <x:f>IF(OR(E9="",F9=""),"",F9-E9)</x:f>
      </x:c>
      <x:c r="H9" s="73"/>
      <x:c r="I9" s="73"/>
      <x:c r="J9" s="77"/>
      <x:c r="K9" s="73"/>
      <x:c r="L9" s="73"/>
    </x:row>
    <x:row r="10">
      <x:c r="A10" s="73" t="str">
        <x:v>S09</x:v>
      </x:c>
      <x:c r="B10" s="73" t="str">
        <x:v>comida_encargo</x:v>
      </x:c>
      <x:c r="C10" s="73"/>
      <x:c r="D10" s="73" t="str">
        <x:v>pendiente</x:v>
      </x:c>
      <x:c r="E10" s="75"/>
      <x:c r="F10" s="75"/>
      <x:c r="G10" s="77" t="str">
        <x:f>IF(OR(E10="",F10=""),"",F10-E10)</x:f>
      </x:c>
      <x:c r="H10" s="73"/>
      <x:c r="I10" s="73"/>
      <x:c r="J10" s="77"/>
      <x:c r="K10" s="73"/>
      <x:c r="L10" s="73"/>
    </x:row>
    <x:row r="11">
      <x:c r="A11" s="73" t="str">
        <x:v>S10</x:v>
      </x:c>
      <x:c r="B11" s="73" t="str">
        <x:v>comida_encargo</x:v>
      </x:c>
      <x:c r="C11" s="73"/>
      <x:c r="D11" s="73" t="str">
        <x:v>pendiente</x:v>
      </x:c>
      <x:c r="E11" s="75"/>
      <x:c r="F11" s="75"/>
      <x:c r="G11" s="77" t="str">
        <x:f>IF(OR(E11="",F11=""),"",F11-E11)</x:f>
      </x:c>
      <x:c r="H11" s="73"/>
      <x:c r="I11" s="73"/>
      <x:c r="J11" s="77"/>
      <x:c r="K11" s="73"/>
      <x:c r="L11" s="73"/>
    </x:row>
    <x:row r="12">
      <x:c r="A12" s="73" t="str">
        <x:v>S11</x:v>
      </x:c>
      <x:c r="B12" s="73" t="str">
        <x:v>comida_encargo</x:v>
      </x:c>
      <x:c r="C12" s="73"/>
      <x:c r="D12" s="73" t="str">
        <x:v>pendiente</x:v>
      </x:c>
      <x:c r="E12" s="75"/>
      <x:c r="F12" s="75"/>
      <x:c r="G12" s="77" t="str">
        <x:f>IF(OR(E12="",F12=""),"",F12-E12)</x:f>
      </x:c>
      <x:c r="H12" s="73"/>
      <x:c r="I12" s="73"/>
      <x:c r="J12" s="77"/>
      <x:c r="K12" s="73"/>
      <x:c r="L12" s="73"/>
    </x:row>
    <x:row r="13">
      <x:c r="A13" s="73" t="str">
        <x:v>S12</x:v>
      </x:c>
      <x:c r="B13" s="73" t="str">
        <x:v>comida_encargo</x:v>
      </x:c>
      <x:c r="C13" s="73"/>
      <x:c r="D13" s="73" t="str">
        <x:v>pendiente</x:v>
      </x:c>
      <x:c r="E13" s="75"/>
      <x:c r="F13" s="75"/>
      <x:c r="G13" s="77" t="str">
        <x:f>IF(OR(E13="",F13=""),"",F13-E13)</x:f>
      </x:c>
      <x:c r="H13" s="73"/>
      <x:c r="I13" s="73"/>
      <x:c r="J13" s="77"/>
      <x:c r="K13" s="73"/>
      <x:c r="L13" s="73"/>
    </x:row>
    <x:row r="14">
      <x:c r="A14" s="73" t="str">
        <x:v>S13</x:v>
      </x:c>
      <x:c r="B14" s="73" t="str">
        <x:v>comida_encargo</x:v>
      </x:c>
      <x:c r="C14" s="73"/>
      <x:c r="D14" s="73" t="str">
        <x:v>pendiente</x:v>
      </x:c>
      <x:c r="E14" s="75"/>
      <x:c r="F14" s="75"/>
      <x:c r="G14" s="77" t="str">
        <x:f>IF(OR(E14="",F14=""),"",F14-E14)</x:f>
      </x:c>
      <x:c r="H14" s="73"/>
      <x:c r="I14" s="73"/>
      <x:c r="J14" s="77"/>
      <x:c r="K14" s="73"/>
      <x:c r="L14" s="73"/>
    </x:row>
    <x:row r="15">
      <x:c r="A15" s="73" t="str">
        <x:v>S14</x:v>
      </x:c>
      <x:c r="B15" s="73" t="str">
        <x:v>comida_encargo</x:v>
      </x:c>
      <x:c r="C15" s="73"/>
      <x:c r="D15" s="73" t="str">
        <x:v>pendiente</x:v>
      </x:c>
      <x:c r="E15" s="75"/>
      <x:c r="F15" s="75"/>
      <x:c r="G15" s="77" t="str">
        <x:f>IF(OR(E15="",F15=""),"",F15-E15)</x:f>
      </x:c>
      <x:c r="H15" s="73"/>
      <x:c r="I15" s="73"/>
      <x:c r="J15" s="77"/>
      <x:c r="K15" s="73"/>
      <x:c r="L15" s="73"/>
    </x:row>
    <x:row r="16">
      <x:c r="A16" s="73" t="str">
        <x:v>S15</x:v>
      </x:c>
      <x:c r="B16" s="73" t="str">
        <x:v>comida_encargo</x:v>
      </x:c>
      <x:c r="C16" s="73"/>
      <x:c r="D16" s="73" t="str">
        <x:v>pendiente</x:v>
      </x:c>
      <x:c r="E16" s="75"/>
      <x:c r="F16" s="75"/>
      <x:c r="G16" s="77" t="str">
        <x:f>IF(OR(E16="",F16=""),"",F16-E16)</x:f>
      </x:c>
      <x:c r="H16" s="73"/>
      <x:c r="I16" s="73"/>
      <x:c r="J16" s="77"/>
      <x:c r="K16" s="73"/>
      <x:c r="L16" s="73"/>
    </x:row>
    <x:row r="17">
      <x:c r="A17" s="73" t="str">
        <x:v>S16</x:v>
      </x:c>
      <x:c r="B17" s="73" t="str">
        <x:v>comida_encargo</x:v>
      </x:c>
      <x:c r="C17" s="73"/>
      <x:c r="D17" s="73" t="str">
        <x:v>pendiente</x:v>
      </x:c>
      <x:c r="E17" s="75"/>
      <x:c r="F17" s="75"/>
      <x:c r="G17" s="77" t="str">
        <x:f>IF(OR(E17="",F17=""),"",F17-E17)</x:f>
      </x:c>
      <x:c r="H17" s="73"/>
      <x:c r="I17" s="73"/>
      <x:c r="J17" s="77"/>
      <x:c r="K17" s="73"/>
      <x:c r="L17" s="73"/>
    </x:row>
    <x:row r="18">
      <x:c r="A18" s="73" t="str">
        <x:v>S17</x:v>
      </x:c>
      <x:c r="B18" s="73" t="str">
        <x:v>servicios_digital</x:v>
      </x:c>
      <x:c r="C18" s="73"/>
      <x:c r="D18" s="73" t="str">
        <x:v>pendiente</x:v>
      </x:c>
      <x:c r="E18" s="75"/>
      <x:c r="F18" s="75"/>
      <x:c r="G18" s="77" t="str">
        <x:f>IF(OR(E18="",F18=""),"",F18-E18)</x:f>
      </x:c>
      <x:c r="H18" s="73"/>
      <x:c r="I18" s="73"/>
      <x:c r="J18" s="77"/>
      <x:c r="K18" s="73"/>
      <x:c r="L18" s="73"/>
    </x:row>
    <x:row r="19">
      <x:c r="A19" s="73" t="str">
        <x:v>S18</x:v>
      </x:c>
      <x:c r="B19" s="73" t="str">
        <x:v>servicios_digital</x:v>
      </x:c>
      <x:c r="C19" s="73"/>
      <x:c r="D19" s="73" t="str">
        <x:v>pendiente</x:v>
      </x:c>
      <x:c r="E19" s="75"/>
      <x:c r="F19" s="75"/>
      <x:c r="G19" s="77" t="str">
        <x:f>IF(OR(E19="",F19=""),"",F19-E19)</x:f>
      </x:c>
      <x:c r="H19" s="73"/>
      <x:c r="I19" s="73"/>
      <x:c r="J19" s="77"/>
      <x:c r="K19" s="73"/>
      <x:c r="L19" s="73"/>
    </x:row>
    <x:row r="20">
      <x:c r="A20" s="73" t="str">
        <x:v>S19</x:v>
      </x:c>
      <x:c r="B20" s="73" t="str">
        <x:v>servicios_digital</x:v>
      </x:c>
      <x:c r="C20" s="73"/>
      <x:c r="D20" s="73" t="str">
        <x:v>pendiente</x:v>
      </x:c>
      <x:c r="E20" s="75"/>
      <x:c r="F20" s="75"/>
      <x:c r="G20" s="77" t="str">
        <x:f>IF(OR(E20="",F20=""),"",F20-E20)</x:f>
      </x:c>
      <x:c r="H20" s="73"/>
      <x:c r="I20" s="73"/>
      <x:c r="J20" s="77"/>
      <x:c r="K20" s="73"/>
      <x:c r="L20" s="73"/>
    </x:row>
    <x:row r="21">
      <x:c r="A21" s="73" t="str">
        <x:v>S20</x:v>
      </x:c>
      <x:c r="B21" s="73" t="str">
        <x:v>servicios_digital</x:v>
      </x:c>
      <x:c r="C21" s="73"/>
      <x:c r="D21" s="73" t="str">
        <x:v>pendiente</x:v>
      </x:c>
      <x:c r="E21" s="75"/>
      <x:c r="F21" s="75"/>
      <x:c r="G21" s="77" t="str">
        <x:f>IF(OR(E21="",F21=""),"",F21-E21)</x:f>
      </x:c>
      <x:c r="H21" s="73"/>
      <x:c r="I21" s="73"/>
      <x:c r="J21" s="77"/>
      <x:c r="K21" s="73"/>
      <x:c r="L21" s="73"/>
    </x:row>
    <x:row r="22">
      <x:c r="A22" s="73" t="str">
        <x:v>S21</x:v>
      </x:c>
      <x:c r="B22" s="73" t="str">
        <x:v>servicios_digital</x:v>
      </x:c>
      <x:c r="C22" s="73"/>
      <x:c r="D22" s="73" t="str">
        <x:v>pendiente</x:v>
      </x:c>
      <x:c r="E22" s="75"/>
      <x:c r="F22" s="75"/>
      <x:c r="G22" s="77" t="str">
        <x:f>IF(OR(E22="",F22=""),"",F22-E22)</x:f>
      </x:c>
      <x:c r="H22" s="73"/>
      <x:c r="I22" s="73"/>
      <x:c r="J22" s="77"/>
      <x:c r="K22" s="73"/>
      <x:c r="L22" s="73"/>
    </x:row>
    <x:row r="23">
      <x:c r="A23" s="73" t="str">
        <x:v>S22</x:v>
      </x:c>
      <x:c r="B23" s="73" t="str">
        <x:v>servicios_digital</x:v>
      </x:c>
      <x:c r="C23" s="73"/>
      <x:c r="D23" s="73" t="str">
        <x:v>pendiente</x:v>
      </x:c>
      <x:c r="E23" s="75"/>
      <x:c r="F23" s="75"/>
      <x:c r="G23" s="77" t="str">
        <x:f>IF(OR(E23="",F23=""),"",F23-E23)</x:f>
      </x:c>
      <x:c r="H23" s="73"/>
      <x:c r="I23" s="73"/>
      <x:c r="J23" s="77"/>
      <x:c r="K23" s="73"/>
      <x:c r="L23" s="73"/>
    </x:row>
    <x:row r="24">
      <x:c r="A24" s="73" t="str">
        <x:v>S23</x:v>
      </x:c>
      <x:c r="B24" s="73" t="str">
        <x:v>servicios_digital</x:v>
      </x:c>
      <x:c r="C24" s="73"/>
      <x:c r="D24" s="73" t="str">
        <x:v>pendiente</x:v>
      </x:c>
      <x:c r="E24" s="75"/>
      <x:c r="F24" s="75"/>
      <x:c r="G24" s="77" t="str">
        <x:f>IF(OR(E24="",F24=""),"",F24-E24)</x:f>
      </x:c>
      <x:c r="H24" s="73"/>
      <x:c r="I24" s="73"/>
      <x:c r="J24" s="77"/>
      <x:c r="K24" s="73"/>
      <x:c r="L24" s="73"/>
    </x:row>
    <x:row r="25">
      <x:c r="A25" s="73" t="str">
        <x:v>S24</x:v>
      </x:c>
      <x:c r="B25" s="73" t="str">
        <x:v>servicios_digital</x:v>
      </x:c>
      <x:c r="C25" s="73"/>
      <x:c r="D25" s="73" t="str">
        <x:v>pendiente</x:v>
      </x:c>
      <x:c r="E25" s="75"/>
      <x:c r="F25" s="75"/>
      <x:c r="G25" s="77" t="str">
        <x:f>IF(OR(E25="",F25=""),"",F25-E25)</x:f>
      </x:c>
      <x:c r="H25" s="73"/>
      <x:c r="I25" s="73"/>
      <x:c r="J25" s="77"/>
      <x:c r="K25" s="73"/>
      <x:c r="L25" s="73"/>
    </x:row>
  </x:sheetData>
  <x:conditionalFormatting sqref="D2:D25">
    <x:cfRule type="containsText" dxfId="6" priority="1" operator="containsText" text="observado"/>
    <x:cfRule type="containsText" dxfId="7" priority="2" operator="containsText" text="desconocido"/>
  </x:conditionalFormatting>
  <x:dataValidations count="5">
    <x:dataValidation type="list" sqref="B2:B25">
      <x:formula1>"productos,comida_encargo,servicios_digital"</x:formula1>
    </x:dataValidation>
    <x:dataValidation type="list" sqref="C2:C25">
      <x:formula1>"stocked_product,scheduled_food,local_service,digital_offer"</x:formula1>
    </x:dataValidation>
    <x:dataValidation type="list" sqref="D2:D25">
      <x:formula1>"pendiente,observado,inferido,desconocido"</x:formula1>
    </x:dataValidation>
    <x:dataValidation type="list" sqref="H2:I25">
      <x:formula1>"si,no,desconocido"</x:formula1>
    </x:dataValidation>
    <x:dataValidation type="list" sqref="K2:K25">
      <x:formula1>"ninguna,minima,moderada,completa,desconocido"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21" hidden="0" customWidth="1"/>
    <x:col min="5" max="5" width="21" hidden="0" customWidth="1"/>
    <x:col min="6" max="6" width="2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8" hidden="0" customWidth="1"/>
    <x:col min="12" max="12" width="16" hidden="0" customWidth="1"/>
    <x:col min="13" max="13" width="17" hidden="0" customWidth="1"/>
    <x:col min="14" max="14" width="28" hidden="0" customWidth="1"/>
    <x:col min="15" max="15" width="22" hidden="0" customWidth="1"/>
    <x:col min="16" max="16" width="21" hidden="0" customWidth="1"/>
    <x:col min="17" max="17" width="19" hidden="0" customWidth="1"/>
    <x:col min="18" max="18" width="34" hidden="0" customWidth="1"/>
  </x:cols>
  <x:sheetData>
    <x:row r="1" ht="42" customHeight="1">
      <x:c r="A1" s="31" t="str">
        <x:v>negocio_codigo</x:v>
      </x:c>
      <x:c r="B1" s="32" t="str">
        <x:v>estado_evidencia</x:v>
      </x:c>
      <x:c r="C1" s="32" t="str">
        <x:v>fecha_auditoria</x:v>
      </x:c>
      <x:c r="D1" s="32" t="str">
        <x:v>cohorte</x:v>
      </x:c>
      <x:c r="E1" s="32" t="str">
        <x:v>fuente_codigo_local</x:v>
      </x:c>
      <x:c r="F1" s="32" t="str">
        <x:v>presencia_modo</x:v>
      </x:c>
      <x:c r="G1" s="32" t="str">
        <x:v>google</x:v>
      </x:c>
      <x:c r="H1" s="32" t="str">
        <x:v>facebook</x:v>
      </x:c>
      <x:c r="I1" s="32" t="str">
        <x:v>instagram</x:v>
      </x:c>
      <x:c r="J1" s="32" t="str">
        <x:v>whatsapp</x:v>
      </x:c>
      <x:c r="K1" s="32" t="str">
        <x:v>catalogo_visible</x:v>
      </x:c>
      <x:c r="L1" s="32" t="str">
        <x:v>precio_visible</x:v>
      </x:c>
      <x:c r="M1" s="32" t="str">
        <x:v>horario_visible</x:v>
      </x:c>
      <x:c r="N1" s="32" t="str">
        <x:v>ubicacion_o_cobertura_visible</x:v>
      </x:c>
      <x:c r="O1" s="32" t="str">
        <x:v>dias_desde_ultima_senal</x:v>
      </x:c>
      <x:c r="P1" s="32" t="str">
        <x:v>contacto_verificable</x:v>
      </x:c>
      <x:c r="Q1" s="32" t="str">
        <x:v>vigencia_aparente</x:v>
      </x:c>
      <x:c r="R1" s="33" t="str">
        <x:v>nota_sin_pii</x:v>
      </x:c>
    </x:row>
    <x:row r="2">
      <x:c r="A2" s="72" t="str">
        <x:v>N001</x:v>
      </x:c>
      <x:c r="B2" s="72" t="str">
        <x:v>pendiente</x:v>
      </x:c>
      <x:c r="C2" s="74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6"/>
      <x:c r="P2" s="72"/>
      <x:c r="Q2" s="72"/>
      <x:c r="R2" s="72"/>
    </x:row>
    <x:row r="3">
      <x:c r="A3" s="73" t="str">
        <x:v>N002</x:v>
      </x:c>
      <x:c r="B3" s="73" t="str">
        <x:v>pendiente</x:v>
      </x:c>
      <x:c r="C3" s="75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7"/>
      <x:c r="P3" s="73"/>
      <x:c r="Q3" s="73"/>
      <x:c r="R3" s="73"/>
    </x:row>
    <x:row r="4">
      <x:c r="A4" s="73" t="str">
        <x:v>N003</x:v>
      </x:c>
      <x:c r="B4" s="73" t="str">
        <x:v>pendiente</x:v>
      </x:c>
      <x:c r="C4" s="75"/>
      <x:c r="D4" s="73"/>
      <x:c r="E4" s="73"/>
      <x:c r="F4" s="73"/>
      <x:c r="G4" s="73"/>
      <x:c r="H4" s="73"/>
      <x:c r="I4" s="73"/>
      <x:c r="J4" s="73"/>
      <x:c r="K4" s="73"/>
      <x:c r="L4" s="73"/>
      <x:c r="M4" s="73"/>
      <x:c r="N4" s="73"/>
      <x:c r="O4" s="77"/>
      <x:c r="P4" s="73"/>
      <x:c r="Q4" s="73"/>
      <x:c r="R4" s="73"/>
    </x:row>
    <x:row r="5">
      <x:c r="A5" s="73" t="str">
        <x:v>N004</x:v>
      </x:c>
      <x:c r="B5" s="73" t="str">
        <x:v>pendiente</x:v>
      </x:c>
      <x:c r="C5" s="75"/>
      <x:c r="D5" s="73"/>
      <x:c r="E5" s="73"/>
      <x:c r="F5" s="73"/>
      <x:c r="G5" s="73"/>
      <x:c r="H5" s="73"/>
      <x:c r="I5" s="73"/>
      <x:c r="J5" s="73"/>
      <x:c r="K5" s="73"/>
      <x:c r="L5" s="73"/>
      <x:c r="M5" s="73"/>
      <x:c r="N5" s="73"/>
      <x:c r="O5" s="77"/>
      <x:c r="P5" s="73"/>
      <x:c r="Q5" s="73"/>
      <x:c r="R5" s="73"/>
    </x:row>
    <x:row r="6">
      <x:c r="A6" s="73" t="str">
        <x:v>N005</x:v>
      </x:c>
      <x:c r="B6" s="73" t="str">
        <x:v>pendiente</x:v>
      </x:c>
      <x:c r="C6" s="75"/>
      <x:c r="D6" s="73"/>
      <x:c r="E6" s="73"/>
      <x:c r="F6" s="73"/>
      <x:c r="G6" s="73"/>
      <x:c r="H6" s="73"/>
      <x:c r="I6" s="73"/>
      <x:c r="J6" s="73"/>
      <x:c r="K6" s="73"/>
      <x:c r="L6" s="73"/>
      <x:c r="M6" s="73"/>
      <x:c r="N6" s="73"/>
      <x:c r="O6" s="77"/>
      <x:c r="P6" s="73"/>
      <x:c r="Q6" s="73"/>
      <x:c r="R6" s="73"/>
    </x:row>
    <x:row r="7">
      <x:c r="A7" s="73" t="str">
        <x:v>N006</x:v>
      </x:c>
      <x:c r="B7" s="73" t="str">
        <x:v>pendiente</x:v>
      </x:c>
      <x:c r="C7" s="75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7"/>
      <x:c r="P7" s="73"/>
      <x:c r="Q7" s="73"/>
      <x:c r="R7" s="73"/>
    </x:row>
    <x:row r="8">
      <x:c r="A8" s="73" t="str">
        <x:v>N007</x:v>
      </x:c>
      <x:c r="B8" s="73" t="str">
        <x:v>pendiente</x:v>
      </x:c>
      <x:c r="C8" s="75"/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s="77"/>
      <x:c r="P8" s="73"/>
      <x:c r="Q8" s="73"/>
      <x:c r="R8" s="73"/>
    </x:row>
    <x:row r="9">
      <x:c r="A9" s="73" t="str">
        <x:v>N008</x:v>
      </x:c>
      <x:c r="B9" s="73" t="str">
        <x:v>pendiente</x:v>
      </x:c>
      <x:c r="C9" s="75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7"/>
      <x:c r="P9" s="73"/>
      <x:c r="Q9" s="73"/>
      <x:c r="R9" s="73"/>
    </x:row>
    <x:row r="10">
      <x:c r="A10" s="73" t="str">
        <x:v>N009</x:v>
      </x:c>
      <x:c r="B10" s="73" t="str">
        <x:v>pendiente</x:v>
      </x:c>
      <x:c r="C10" s="75"/>
      <x:c r="D10" s="73"/>
      <x:c r="E10" s="73"/>
      <x:c r="F10" s="73"/>
      <x:c r="G10" s="73"/>
      <x:c r="H10" s="73"/>
      <x:c r="I10" s="73"/>
      <x:c r="J10" s="73"/>
      <x:c r="K10" s="73"/>
      <x:c r="L10" s="73"/>
      <x:c r="M10" s="73"/>
      <x:c r="N10" s="73"/>
      <x:c r="O10" s="77"/>
      <x:c r="P10" s="73"/>
      <x:c r="Q10" s="73"/>
      <x:c r="R10" s="73"/>
    </x:row>
    <x:row r="11">
      <x:c r="A11" s="73" t="str">
        <x:v>N010</x:v>
      </x:c>
      <x:c r="B11" s="73" t="str">
        <x:v>pendiente</x:v>
      </x:c>
      <x:c r="C11" s="75"/>
      <x:c r="D11" s="73"/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s="77"/>
      <x:c r="P11" s="73"/>
      <x:c r="Q11" s="73"/>
      <x:c r="R11" s="73"/>
    </x:row>
    <x:row r="12">
      <x:c r="A12" s="73" t="str">
        <x:v>N011</x:v>
      </x:c>
      <x:c r="B12" s="73" t="str">
        <x:v>pendiente</x:v>
      </x:c>
      <x:c r="C12" s="75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7"/>
      <x:c r="P12" s="73"/>
      <x:c r="Q12" s="73"/>
      <x:c r="R12" s="73"/>
    </x:row>
    <x:row r="13">
      <x:c r="A13" s="73" t="str">
        <x:v>N012</x:v>
      </x:c>
      <x:c r="B13" s="73" t="str">
        <x:v>pendiente</x:v>
      </x:c>
      <x:c r="C13" s="75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7"/>
      <x:c r="P13" s="73"/>
      <x:c r="Q13" s="73"/>
      <x:c r="R13" s="73"/>
    </x:row>
    <x:row r="14">
      <x:c r="A14" s="73" t="str">
        <x:v>N013</x:v>
      </x:c>
      <x:c r="B14" s="73" t="str">
        <x:v>pendiente</x:v>
      </x:c>
      <x:c r="C14" s="75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s="77"/>
      <x:c r="P14" s="73"/>
      <x:c r="Q14" s="73"/>
      <x:c r="R14" s="73"/>
    </x:row>
    <x:row r="15">
      <x:c r="A15" s="73" t="str">
        <x:v>N014</x:v>
      </x:c>
      <x:c r="B15" s="73" t="str">
        <x:v>pendiente</x:v>
      </x:c>
      <x:c r="C15" s="75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s="77"/>
      <x:c r="P15" s="73"/>
      <x:c r="Q15" s="73"/>
      <x:c r="R15" s="73"/>
    </x:row>
    <x:row r="16">
      <x:c r="A16" s="73" t="str">
        <x:v>N015</x:v>
      </x:c>
      <x:c r="B16" s="73" t="str">
        <x:v>pendiente</x:v>
      </x:c>
      <x:c r="C16" s="75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7"/>
      <x:c r="P16" s="73"/>
      <x:c r="Q16" s="73"/>
      <x:c r="R16" s="73"/>
    </x:row>
    <x:row r="17">
      <x:c r="A17" s="73" t="str">
        <x:v>N016</x:v>
      </x:c>
      <x:c r="B17" s="73" t="str">
        <x:v>pendiente</x:v>
      </x:c>
      <x:c r="C17" s="75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7"/>
      <x:c r="P17" s="73"/>
      <x:c r="Q17" s="73"/>
      <x:c r="R17" s="73"/>
    </x:row>
    <x:row r="18">
      <x:c r="A18" s="73" t="str">
        <x:v>N017</x:v>
      </x:c>
      <x:c r="B18" s="73" t="str">
        <x:v>pendiente</x:v>
      </x:c>
      <x:c r="C18" s="75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7"/>
      <x:c r="P18" s="73"/>
      <x:c r="Q18" s="73"/>
      <x:c r="R18" s="73"/>
    </x:row>
    <x:row r="19">
      <x:c r="A19" s="73" t="str">
        <x:v>N018</x:v>
      </x:c>
      <x:c r="B19" s="73" t="str">
        <x:v>pendiente</x:v>
      </x:c>
      <x:c r="C19" s="75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7"/>
      <x:c r="P19" s="73"/>
      <x:c r="Q19" s="73"/>
      <x:c r="R19" s="73"/>
    </x:row>
    <x:row r="20">
      <x:c r="A20" s="73" t="str">
        <x:v>N019</x:v>
      </x:c>
      <x:c r="B20" s="73" t="str">
        <x:v>pendiente</x:v>
      </x:c>
      <x:c r="C20" s="75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7"/>
      <x:c r="P20" s="73"/>
      <x:c r="Q20" s="73"/>
      <x:c r="R20" s="73"/>
    </x:row>
    <x:row r="21">
      <x:c r="A21" s="73" t="str">
        <x:v>N020</x:v>
      </x:c>
      <x:c r="B21" s="73" t="str">
        <x:v>pendiente</x:v>
      </x:c>
      <x:c r="C21" s="75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7"/>
      <x:c r="P21" s="73"/>
      <x:c r="Q21" s="73"/>
      <x:c r="R21" s="73"/>
    </x:row>
    <x:row r="22">
      <x:c r="A22" s="73" t="str">
        <x:v>N021</x:v>
      </x:c>
      <x:c r="B22" s="73" t="str">
        <x:v>pendiente</x:v>
      </x:c>
      <x:c r="C22" s="75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7"/>
      <x:c r="P22" s="73"/>
      <x:c r="Q22" s="73"/>
      <x:c r="R22" s="73"/>
    </x:row>
    <x:row r="23">
      <x:c r="A23" s="73" t="str">
        <x:v>N022</x:v>
      </x:c>
      <x:c r="B23" s="73" t="str">
        <x:v>pendiente</x:v>
      </x:c>
      <x:c r="C23" s="75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7"/>
      <x:c r="P23" s="73"/>
      <x:c r="Q23" s="73"/>
      <x:c r="R23" s="73"/>
    </x:row>
    <x:row r="24">
      <x:c r="A24" s="73" t="str">
        <x:v>N023</x:v>
      </x:c>
      <x:c r="B24" s="73" t="str">
        <x:v>pendiente</x:v>
      </x:c>
      <x:c r="C24" s="75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7"/>
      <x:c r="P24" s="73"/>
      <x:c r="Q24" s="73"/>
      <x:c r="R24" s="73"/>
    </x:row>
    <x:row r="25">
      <x:c r="A25" s="73" t="str">
        <x:v>N024</x:v>
      </x:c>
      <x:c r="B25" s="73" t="str">
        <x:v>pendiente</x:v>
      </x:c>
      <x:c r="C25" s="75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7"/>
      <x:c r="P25" s="73"/>
      <x:c r="Q25" s="73"/>
      <x:c r="R25" s="73"/>
    </x:row>
    <x:row r="26">
      <x:c r="A26" s="73" t="str">
        <x:v>N025</x:v>
      </x:c>
      <x:c r="B26" s="73" t="str">
        <x:v>pendiente</x:v>
      </x:c>
      <x:c r="C26" s="75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7"/>
      <x:c r="P26" s="73"/>
      <x:c r="Q26" s="73"/>
      <x:c r="R26" s="73"/>
    </x:row>
    <x:row r="27">
      <x:c r="A27" s="73" t="str">
        <x:v>N026</x:v>
      </x:c>
      <x:c r="B27" s="73" t="str">
        <x:v>pendiente</x:v>
      </x:c>
      <x:c r="C27" s="75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7"/>
      <x:c r="P27" s="73"/>
      <x:c r="Q27" s="73"/>
      <x:c r="R27" s="73"/>
    </x:row>
    <x:row r="28">
      <x:c r="A28" s="73" t="str">
        <x:v>N027</x:v>
      </x:c>
      <x:c r="B28" s="73" t="str">
        <x:v>pendiente</x:v>
      </x:c>
      <x:c r="C28" s="75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7"/>
      <x:c r="P28" s="73"/>
      <x:c r="Q28" s="73"/>
      <x:c r="R28" s="73"/>
    </x:row>
    <x:row r="29">
      <x:c r="A29" s="73" t="str">
        <x:v>N028</x:v>
      </x:c>
      <x:c r="B29" s="73" t="str">
        <x:v>pendiente</x:v>
      </x:c>
      <x:c r="C29" s="75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7"/>
      <x:c r="P29" s="73"/>
      <x:c r="Q29" s="73"/>
      <x:c r="R29" s="73"/>
    </x:row>
    <x:row r="30">
      <x:c r="A30" s="73" t="str">
        <x:v>N029</x:v>
      </x:c>
      <x:c r="B30" s="73" t="str">
        <x:v>pendiente</x:v>
      </x:c>
      <x:c r="C30" s="75"/>
      <x:c r="D30" s="73"/>
      <x:c r="E30" s="73"/>
      <x:c r="F30" s="73"/>
      <x:c r="G30" s="73"/>
      <x:c r="H30" s="73"/>
      <x:c r="I30" s="73"/>
      <x:c r="J30" s="73"/>
      <x:c r="K30" s="73"/>
      <x:c r="L30" s="73"/>
      <x:c r="M30" s="73"/>
      <x:c r="N30" s="73"/>
      <x:c r="O30" s="77"/>
      <x:c r="P30" s="73"/>
      <x:c r="Q30" s="73"/>
      <x:c r="R30" s="73"/>
    </x:row>
    <x:row r="31">
      <x:c r="A31" s="73" t="str">
        <x:v>N030</x:v>
      </x:c>
      <x:c r="B31" s="73" t="str">
        <x:v>pendiente</x:v>
      </x:c>
      <x:c r="C31" s="75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7"/>
      <x:c r="P31" s="73"/>
      <x:c r="Q31" s="73"/>
      <x:c r="R31" s="73"/>
    </x:row>
    <x:row r="32">
      <x:c r="A32" s="73" t="str">
        <x:v>N031</x:v>
      </x:c>
      <x:c r="B32" s="73" t="str">
        <x:v>pendiente</x:v>
      </x:c>
      <x:c r="C32" s="75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7"/>
      <x:c r="P32" s="73"/>
      <x:c r="Q32" s="73"/>
      <x:c r="R32" s="73"/>
    </x:row>
    <x:row r="33">
      <x:c r="A33" s="73" t="str">
        <x:v>N032</x:v>
      </x:c>
      <x:c r="B33" s="73" t="str">
        <x:v>pendiente</x:v>
      </x:c>
      <x:c r="C33" s="75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7"/>
      <x:c r="P33" s="73"/>
      <x:c r="Q33" s="73"/>
      <x:c r="R33" s="73"/>
    </x:row>
    <x:row r="34">
      <x:c r="A34" s="73" t="str">
        <x:v>N033</x:v>
      </x:c>
      <x:c r="B34" s="73" t="str">
        <x:v>pendiente</x:v>
      </x:c>
      <x:c r="C34" s="75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7"/>
      <x:c r="P34" s="73"/>
      <x:c r="Q34" s="73"/>
      <x:c r="R34" s="73"/>
    </x:row>
    <x:row r="35">
      <x:c r="A35" s="73" t="str">
        <x:v>N034</x:v>
      </x:c>
      <x:c r="B35" s="73" t="str">
        <x:v>pendiente</x:v>
      </x:c>
      <x:c r="C35" s="75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7"/>
      <x:c r="P35" s="73"/>
      <x:c r="Q35" s="73"/>
      <x:c r="R35" s="73"/>
    </x:row>
    <x:row r="36">
      <x:c r="A36" s="73" t="str">
        <x:v>N035</x:v>
      </x:c>
      <x:c r="B36" s="73" t="str">
        <x:v>pendiente</x:v>
      </x:c>
      <x:c r="C36" s="75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7"/>
      <x:c r="P36" s="73"/>
      <x:c r="Q36" s="73"/>
      <x:c r="R36" s="73"/>
    </x:row>
    <x:row r="37">
      <x:c r="A37" s="73" t="str">
        <x:v>N036</x:v>
      </x:c>
      <x:c r="B37" s="73" t="str">
        <x:v>pendiente</x:v>
      </x:c>
      <x:c r="C37" s="75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7"/>
      <x:c r="P37" s="73"/>
      <x:c r="Q37" s="73"/>
      <x:c r="R37" s="73"/>
    </x:row>
    <x:row r="38">
      <x:c r="A38" s="73" t="str">
        <x:v>N037</x:v>
      </x:c>
      <x:c r="B38" s="73" t="str">
        <x:v>pendiente</x:v>
      </x:c>
      <x:c r="C38" s="75"/>
      <x:c r="D38" s="73"/>
      <x:c r="E38" s="73"/>
      <x:c r="F38" s="73"/>
      <x:c r="G38" s="73"/>
      <x:c r="H38" s="73"/>
      <x:c r="I38" s="73"/>
      <x:c r="J38" s="73"/>
      <x:c r="K38" s="73"/>
      <x:c r="L38" s="73"/>
      <x:c r="M38" s="73"/>
      <x:c r="N38" s="73"/>
      <x:c r="O38" s="77"/>
      <x:c r="P38" s="73"/>
      <x:c r="Q38" s="73"/>
      <x:c r="R38" s="73"/>
    </x:row>
    <x:row r="39">
      <x:c r="A39" s="73" t="str">
        <x:v>N038</x:v>
      </x:c>
      <x:c r="B39" s="73" t="str">
        <x:v>pendiente</x:v>
      </x:c>
      <x:c r="C39" s="75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7"/>
      <x:c r="P39" s="73"/>
      <x:c r="Q39" s="73"/>
      <x:c r="R39" s="73"/>
    </x:row>
    <x:row r="40">
      <x:c r="A40" s="73" t="str">
        <x:v>N039</x:v>
      </x:c>
      <x:c r="B40" s="73" t="str">
        <x:v>pendiente</x:v>
      </x:c>
      <x:c r="C40" s="75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7"/>
      <x:c r="P40" s="73"/>
      <x:c r="Q40" s="73"/>
      <x:c r="R40" s="73"/>
    </x:row>
    <x:row r="41">
      <x:c r="A41" s="73" t="str">
        <x:v>N040</x:v>
      </x:c>
      <x:c r="B41" s="73" t="str">
        <x:v>pendiente</x:v>
      </x:c>
      <x:c r="C41" s="75"/>
      <x:c r="D41" s="73"/>
      <x:c r="E41" s="73"/>
      <x:c r="F41" s="73"/>
      <x:c r="G41" s="73"/>
      <x:c r="H41" s="73"/>
      <x:c r="I41" s="73"/>
      <x:c r="J41" s="73"/>
      <x:c r="K41" s="73"/>
      <x:c r="L41" s="73"/>
      <x:c r="M41" s="73"/>
      <x:c r="N41" s="73"/>
      <x:c r="O41" s="77"/>
      <x:c r="P41" s="73"/>
      <x:c r="Q41" s="73"/>
      <x:c r="R41" s="73"/>
    </x:row>
    <x:row r="42">
      <x:c r="A42" s="73" t="str">
        <x:v>N041</x:v>
      </x:c>
      <x:c r="B42" s="73" t="str">
        <x:v>pendiente</x:v>
      </x:c>
      <x:c r="C42" s="75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7"/>
      <x:c r="P42" s="73"/>
      <x:c r="Q42" s="73"/>
      <x:c r="R42" s="73"/>
    </x:row>
    <x:row r="43">
      <x:c r="A43" s="73" t="str">
        <x:v>N042</x:v>
      </x:c>
      <x:c r="B43" s="73" t="str">
        <x:v>pendiente</x:v>
      </x:c>
      <x:c r="C43" s="75"/>
      <x:c r="D43" s="73"/>
      <x:c r="E43" s="73"/>
      <x:c r="F43" s="73"/>
      <x:c r="G43" s="73"/>
      <x:c r="H43" s="73"/>
      <x:c r="I43" s="73"/>
      <x:c r="J43" s="73"/>
      <x:c r="K43" s="73"/>
      <x:c r="L43" s="73"/>
      <x:c r="M43" s="73"/>
      <x:c r="N43" s="73"/>
      <x:c r="O43" s="77"/>
      <x:c r="P43" s="73"/>
      <x:c r="Q43" s="73"/>
      <x:c r="R43" s="73"/>
    </x:row>
    <x:row r="44">
      <x:c r="A44" s="73" t="str">
        <x:v>N043</x:v>
      </x:c>
      <x:c r="B44" s="73" t="str">
        <x:v>pendiente</x:v>
      </x:c>
      <x:c r="C44" s="75"/>
      <x:c r="D44" s="73"/>
      <x:c r="E44" s="73"/>
      <x:c r="F44" s="73"/>
      <x:c r="G44" s="73"/>
      <x:c r="H44" s="73"/>
      <x:c r="I44" s="73"/>
      <x:c r="J44" s="73"/>
      <x:c r="K44" s="73"/>
      <x:c r="L44" s="73"/>
      <x:c r="M44" s="73"/>
      <x:c r="N44" s="73"/>
      <x:c r="O44" s="77"/>
      <x:c r="P44" s="73"/>
      <x:c r="Q44" s="73"/>
      <x:c r="R44" s="73"/>
    </x:row>
    <x:row r="45">
      <x:c r="A45" s="73" t="str">
        <x:v>N044</x:v>
      </x:c>
      <x:c r="B45" s="73" t="str">
        <x:v>pendiente</x:v>
      </x:c>
      <x:c r="C45" s="75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7"/>
      <x:c r="P45" s="73"/>
      <x:c r="Q45" s="73"/>
      <x:c r="R45" s="73"/>
    </x:row>
    <x:row r="46">
      <x:c r="A46" s="73" t="str">
        <x:v>N045</x:v>
      </x:c>
      <x:c r="B46" s="73" t="str">
        <x:v>pendiente</x:v>
      </x:c>
      <x:c r="C46" s="75"/>
      <x:c r="D46" s="73"/>
      <x:c r="E46" s="73"/>
      <x:c r="F46" s="73"/>
      <x:c r="G46" s="73"/>
      <x:c r="H46" s="73"/>
      <x:c r="I46" s="73"/>
      <x:c r="J46" s="73"/>
      <x:c r="K46" s="73"/>
      <x:c r="L46" s="73"/>
      <x:c r="M46" s="73"/>
      <x:c r="N46" s="73"/>
      <x:c r="O46" s="77"/>
      <x:c r="P46" s="73"/>
      <x:c r="Q46" s="73"/>
      <x:c r="R46" s="73"/>
    </x:row>
    <x:row r="47">
      <x:c r="A47" s="73" t="str">
        <x:v>N046</x:v>
      </x:c>
      <x:c r="B47" s="73" t="str">
        <x:v>pendiente</x:v>
      </x:c>
      <x:c r="C47" s="75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7"/>
      <x:c r="P47" s="73"/>
      <x:c r="Q47" s="73"/>
      <x:c r="R47" s="73"/>
    </x:row>
    <x:row r="48">
      <x:c r="A48" s="73" t="str">
        <x:v>N047</x:v>
      </x:c>
      <x:c r="B48" s="73" t="str">
        <x:v>pendiente</x:v>
      </x:c>
      <x:c r="C48" s="75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7"/>
      <x:c r="P48" s="73"/>
      <x:c r="Q48" s="73"/>
      <x:c r="R48" s="73"/>
    </x:row>
    <x:row r="49">
      <x:c r="A49" s="73" t="str">
        <x:v>N048</x:v>
      </x:c>
      <x:c r="B49" s="73" t="str">
        <x:v>pendiente</x:v>
      </x:c>
      <x:c r="C49" s="75"/>
      <x:c r="D49" s="73"/>
      <x:c r="E49" s="73"/>
      <x:c r="F49" s="73"/>
      <x:c r="G49" s="73"/>
      <x:c r="H49" s="73"/>
      <x:c r="I49" s="73"/>
      <x:c r="J49" s="73"/>
      <x:c r="K49" s="73"/>
      <x:c r="L49" s="73"/>
      <x:c r="M49" s="73"/>
      <x:c r="N49" s="73"/>
      <x:c r="O49" s="77"/>
      <x:c r="P49" s="73"/>
      <x:c r="Q49" s="73"/>
      <x:c r="R49" s="73"/>
    </x:row>
    <x:row r="50">
      <x:c r="A50" s="73" t="str">
        <x:v>N049</x:v>
      </x:c>
      <x:c r="B50" s="73" t="str">
        <x:v>pendiente</x:v>
      </x:c>
      <x:c r="C50" s="75"/>
      <x:c r="D50" s="73"/>
      <x:c r="E50" s="73"/>
      <x:c r="F50" s="73"/>
      <x:c r="G50" s="73"/>
      <x:c r="H50" s="73"/>
      <x:c r="I50" s="73"/>
      <x:c r="J50" s="73"/>
      <x:c r="K50" s="73"/>
      <x:c r="L50" s="73"/>
      <x:c r="M50" s="73"/>
      <x:c r="N50" s="73"/>
      <x:c r="O50" s="77"/>
      <x:c r="P50" s="73"/>
      <x:c r="Q50" s="73"/>
      <x:c r="R50" s="73"/>
    </x:row>
    <x:row r="51">
      <x:c r="A51" s="73" t="str">
        <x:v>N050</x:v>
      </x:c>
      <x:c r="B51" s="73" t="str">
        <x:v>pendiente</x:v>
      </x:c>
      <x:c r="C51" s="75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7"/>
      <x:c r="P51" s="73"/>
      <x:c r="Q51" s="73"/>
      <x:c r="R51" s="73"/>
    </x:row>
    <x:row r="52">
      <x:c r="A52" s="73" t="str">
        <x:v>N051</x:v>
      </x:c>
      <x:c r="B52" s="73" t="str">
        <x:v>pendiente</x:v>
      </x:c>
      <x:c r="C52" s="75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7"/>
      <x:c r="P52" s="73"/>
      <x:c r="Q52" s="73"/>
      <x:c r="R52" s="73"/>
    </x:row>
    <x:row r="53">
      <x:c r="A53" s="73" t="str">
        <x:v>N052</x:v>
      </x:c>
      <x:c r="B53" s="73" t="str">
        <x:v>pendiente</x:v>
      </x:c>
      <x:c r="C53" s="75"/>
      <x:c r="D53" s="73"/>
      <x:c r="E53" s="73"/>
      <x:c r="F53" s="73"/>
      <x:c r="G53" s="73"/>
      <x:c r="H53" s="73"/>
      <x:c r="I53" s="73"/>
      <x:c r="J53" s="73"/>
      <x:c r="K53" s="73"/>
      <x:c r="L53" s="73"/>
      <x:c r="M53" s="73"/>
      <x:c r="N53" s="73"/>
      <x:c r="O53" s="77"/>
      <x:c r="P53" s="73"/>
      <x:c r="Q53" s="73"/>
      <x:c r="R53" s="73"/>
    </x:row>
    <x:row r="54">
      <x:c r="A54" s="73" t="str">
        <x:v>N053</x:v>
      </x:c>
      <x:c r="B54" s="73" t="str">
        <x:v>pendiente</x:v>
      </x:c>
      <x:c r="C54" s="75"/>
      <x:c r="D54" s="73"/>
      <x:c r="E54" s="73"/>
      <x:c r="F54" s="73"/>
      <x:c r="G54" s="73"/>
      <x:c r="H54" s="73"/>
      <x:c r="I54" s="73"/>
      <x:c r="J54" s="73"/>
      <x:c r="K54" s="73"/>
      <x:c r="L54" s="73"/>
      <x:c r="M54" s="73"/>
      <x:c r="N54" s="73"/>
      <x:c r="O54" s="77"/>
      <x:c r="P54" s="73"/>
      <x:c r="Q54" s="73"/>
      <x:c r="R54" s="73"/>
    </x:row>
    <x:row r="55">
      <x:c r="A55" s="73" t="str">
        <x:v>N054</x:v>
      </x:c>
      <x:c r="B55" s="73" t="str">
        <x:v>pendiente</x:v>
      </x:c>
      <x:c r="C55" s="75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7"/>
      <x:c r="P55" s="73"/>
      <x:c r="Q55" s="73"/>
      <x:c r="R55" s="73"/>
    </x:row>
    <x:row r="56">
      <x:c r="A56" s="73" t="str">
        <x:v>N055</x:v>
      </x:c>
      <x:c r="B56" s="73" t="str">
        <x:v>pendiente</x:v>
      </x:c>
      <x:c r="C56" s="75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7"/>
      <x:c r="P56" s="73"/>
      <x:c r="Q56" s="73"/>
      <x:c r="R56" s="73"/>
    </x:row>
    <x:row r="57">
      <x:c r="A57" s="73" t="str">
        <x:v>N056</x:v>
      </x:c>
      <x:c r="B57" s="73" t="str">
        <x:v>pendiente</x:v>
      </x:c>
      <x:c r="C57" s="75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7"/>
      <x:c r="P57" s="73"/>
      <x:c r="Q57" s="73"/>
      <x:c r="R57" s="73"/>
    </x:row>
    <x:row r="58">
      <x:c r="A58" s="73" t="str">
        <x:v>N057</x:v>
      </x:c>
      <x:c r="B58" s="73" t="str">
        <x:v>pendiente</x:v>
      </x:c>
      <x:c r="C58" s="75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7"/>
      <x:c r="P58" s="73"/>
      <x:c r="Q58" s="73"/>
      <x:c r="R58" s="73"/>
    </x:row>
    <x:row r="59">
      <x:c r="A59" s="73" t="str">
        <x:v>N058</x:v>
      </x:c>
      <x:c r="B59" s="73" t="str">
        <x:v>pendiente</x:v>
      </x:c>
      <x:c r="C59" s="75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7"/>
      <x:c r="P59" s="73"/>
      <x:c r="Q59" s="73"/>
      <x:c r="R59" s="73"/>
    </x:row>
    <x:row r="60">
      <x:c r="A60" s="73" t="str">
        <x:v>N059</x:v>
      </x:c>
      <x:c r="B60" s="73" t="str">
        <x:v>pendiente</x:v>
      </x:c>
      <x:c r="C60" s="75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7"/>
      <x:c r="P60" s="73"/>
      <x:c r="Q60" s="73"/>
      <x:c r="R60" s="73"/>
    </x:row>
    <x:row r="61">
      <x:c r="A61" s="73" t="str">
        <x:v>N060</x:v>
      </x:c>
      <x:c r="B61" s="73" t="str">
        <x:v>pendiente</x:v>
      </x:c>
      <x:c r="C61" s="75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7"/>
      <x:c r="P61" s="73"/>
      <x:c r="Q61" s="73"/>
      <x:c r="R61" s="73"/>
    </x:row>
    <x:row r="62">
      <x:c r="A62" s="73" t="str">
        <x:v>N061</x:v>
      </x:c>
      <x:c r="B62" s="73" t="str">
        <x:v>pendiente</x:v>
      </x:c>
      <x:c r="C62" s="75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7"/>
      <x:c r="P62" s="73"/>
      <x:c r="Q62" s="73"/>
      <x:c r="R62" s="73"/>
    </x:row>
    <x:row r="63">
      <x:c r="A63" s="73" t="str">
        <x:v>N062</x:v>
      </x:c>
      <x:c r="B63" s="73" t="str">
        <x:v>pendiente</x:v>
      </x:c>
      <x:c r="C63" s="75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7"/>
      <x:c r="P63" s="73"/>
      <x:c r="Q63" s="73"/>
      <x:c r="R63" s="73"/>
    </x:row>
    <x:row r="64">
      <x:c r="A64" s="73" t="str">
        <x:v>N063</x:v>
      </x:c>
      <x:c r="B64" s="73" t="str">
        <x:v>pendiente</x:v>
      </x:c>
      <x:c r="C64" s="75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7"/>
      <x:c r="P64" s="73"/>
      <x:c r="Q64" s="73"/>
      <x:c r="R64" s="73"/>
    </x:row>
    <x:row r="65">
      <x:c r="A65" s="73" t="str">
        <x:v>N064</x:v>
      </x:c>
      <x:c r="B65" s="73" t="str">
        <x:v>pendiente</x:v>
      </x:c>
      <x:c r="C65" s="75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7"/>
      <x:c r="P65" s="73"/>
      <x:c r="Q65" s="73"/>
      <x:c r="R65" s="73"/>
    </x:row>
    <x:row r="66">
      <x:c r="A66" s="73" t="str">
        <x:v>N065</x:v>
      </x:c>
      <x:c r="B66" s="73" t="str">
        <x:v>pendiente</x:v>
      </x:c>
      <x:c r="C66" s="75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7"/>
      <x:c r="P66" s="73"/>
      <x:c r="Q66" s="73"/>
      <x:c r="R66" s="73"/>
    </x:row>
    <x:row r="67">
      <x:c r="A67" s="73" t="str">
        <x:v>N066</x:v>
      </x:c>
      <x:c r="B67" s="73" t="str">
        <x:v>pendiente</x:v>
      </x:c>
      <x:c r="C67" s="75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7"/>
      <x:c r="P67" s="73"/>
      <x:c r="Q67" s="73"/>
      <x:c r="R67" s="73"/>
    </x:row>
    <x:row r="68">
      <x:c r="A68" s="73" t="str">
        <x:v>N067</x:v>
      </x:c>
      <x:c r="B68" s="73" t="str">
        <x:v>pendiente</x:v>
      </x:c>
      <x:c r="C68" s="75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7"/>
      <x:c r="P68" s="73"/>
      <x:c r="Q68" s="73"/>
      <x:c r="R68" s="73"/>
    </x:row>
    <x:row r="69">
      <x:c r="A69" s="73" t="str">
        <x:v>N068</x:v>
      </x:c>
      <x:c r="B69" s="73" t="str">
        <x:v>pendiente</x:v>
      </x:c>
      <x:c r="C69" s="75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7"/>
      <x:c r="P69" s="73"/>
      <x:c r="Q69" s="73"/>
      <x:c r="R69" s="73"/>
    </x:row>
    <x:row r="70">
      <x:c r="A70" s="73" t="str">
        <x:v>N069</x:v>
      </x:c>
      <x:c r="B70" s="73" t="str">
        <x:v>pendiente</x:v>
      </x:c>
      <x:c r="C70" s="75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7"/>
      <x:c r="P70" s="73"/>
      <x:c r="Q70" s="73"/>
      <x:c r="R70" s="73"/>
    </x:row>
    <x:row r="71">
      <x:c r="A71" s="73" t="str">
        <x:v>N070</x:v>
      </x:c>
      <x:c r="B71" s="73" t="str">
        <x:v>pendiente</x:v>
      </x:c>
      <x:c r="C71" s="75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7"/>
      <x:c r="P71" s="73"/>
      <x:c r="Q71" s="73"/>
      <x:c r="R71" s="73"/>
    </x:row>
    <x:row r="72">
      <x:c r="A72" s="73" t="str">
        <x:v>N071</x:v>
      </x:c>
      <x:c r="B72" s="73" t="str">
        <x:v>pendiente</x:v>
      </x:c>
      <x:c r="C72" s="75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7"/>
      <x:c r="P72" s="73"/>
      <x:c r="Q72" s="73"/>
      <x:c r="R72" s="73"/>
    </x:row>
    <x:row r="73">
      <x:c r="A73" s="73" t="str">
        <x:v>N072</x:v>
      </x:c>
      <x:c r="B73" s="73" t="str">
        <x:v>pendiente</x:v>
      </x:c>
      <x:c r="C73" s="75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7"/>
      <x:c r="P73" s="73"/>
      <x:c r="Q73" s="73"/>
      <x:c r="R73" s="73"/>
    </x:row>
    <x:row r="74">
      <x:c r="A74" s="73" t="str">
        <x:v>N073</x:v>
      </x:c>
      <x:c r="B74" s="73" t="str">
        <x:v>pendiente</x:v>
      </x:c>
      <x:c r="C74" s="75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7"/>
      <x:c r="P74" s="73"/>
      <x:c r="Q74" s="73"/>
      <x:c r="R74" s="73"/>
    </x:row>
    <x:row r="75">
      <x:c r="A75" s="73" t="str">
        <x:v>N074</x:v>
      </x:c>
      <x:c r="B75" s="73" t="str">
        <x:v>pendiente</x:v>
      </x:c>
      <x:c r="C75" s="75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7"/>
      <x:c r="P75" s="73"/>
      <x:c r="Q75" s="73"/>
      <x:c r="R75" s="73"/>
    </x:row>
    <x:row r="76">
      <x:c r="A76" s="73" t="str">
        <x:v>N075</x:v>
      </x:c>
      <x:c r="B76" s="73" t="str">
        <x:v>pendiente</x:v>
      </x:c>
      <x:c r="C76" s="75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7"/>
      <x:c r="P76" s="73"/>
      <x:c r="Q76" s="73"/>
      <x:c r="R76" s="73"/>
    </x:row>
    <x:row r="77">
      <x:c r="A77" s="73" t="str">
        <x:v>N076</x:v>
      </x:c>
      <x:c r="B77" s="73" t="str">
        <x:v>pendiente</x:v>
      </x:c>
      <x:c r="C77" s="75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7"/>
      <x:c r="P77" s="73"/>
      <x:c r="Q77" s="73"/>
      <x:c r="R77" s="73"/>
    </x:row>
    <x:row r="78">
      <x:c r="A78" s="73" t="str">
        <x:v>N077</x:v>
      </x:c>
      <x:c r="B78" s="73" t="str">
        <x:v>pendiente</x:v>
      </x:c>
      <x:c r="C78" s="75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7"/>
      <x:c r="P78" s="73"/>
      <x:c r="Q78" s="73"/>
      <x:c r="R78" s="73"/>
    </x:row>
    <x:row r="79">
      <x:c r="A79" s="73" t="str">
        <x:v>N078</x:v>
      </x:c>
      <x:c r="B79" s="73" t="str">
        <x:v>pendiente</x:v>
      </x:c>
      <x:c r="C79" s="75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7"/>
      <x:c r="P79" s="73"/>
      <x:c r="Q79" s="73"/>
      <x:c r="R79" s="73"/>
    </x:row>
    <x:row r="80">
      <x:c r="A80" s="73" t="str">
        <x:v>N079</x:v>
      </x:c>
      <x:c r="B80" s="73" t="str">
        <x:v>pendiente</x:v>
      </x:c>
      <x:c r="C80" s="75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7"/>
      <x:c r="P80" s="73"/>
      <x:c r="Q80" s="73"/>
      <x:c r="R80" s="73"/>
    </x:row>
    <x:row r="81">
      <x:c r="A81" s="73" t="str">
        <x:v>N080</x:v>
      </x:c>
      <x:c r="B81" s="73" t="str">
        <x:v>pendiente</x:v>
      </x:c>
      <x:c r="C81" s="75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7"/>
      <x:c r="P81" s="73"/>
      <x:c r="Q81" s="73"/>
      <x:c r="R81" s="73"/>
    </x:row>
    <x:row r="82">
      <x:c r="A82" s="73" t="str">
        <x:v>N081</x:v>
      </x:c>
      <x:c r="B82" s="73" t="str">
        <x:v>pendiente</x:v>
      </x:c>
      <x:c r="C82" s="75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7"/>
      <x:c r="P82" s="73"/>
      <x:c r="Q82" s="73"/>
      <x:c r="R82" s="73"/>
    </x:row>
    <x:row r="83">
      <x:c r="A83" s="73" t="str">
        <x:v>N082</x:v>
      </x:c>
      <x:c r="B83" s="73" t="str">
        <x:v>pendiente</x:v>
      </x:c>
      <x:c r="C83" s="75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7"/>
      <x:c r="P83" s="73"/>
      <x:c r="Q83" s="73"/>
      <x:c r="R83" s="73"/>
    </x:row>
    <x:row r="84">
      <x:c r="A84" s="73" t="str">
        <x:v>N083</x:v>
      </x:c>
      <x:c r="B84" s="73" t="str">
        <x:v>pendiente</x:v>
      </x:c>
      <x:c r="C84" s="75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7"/>
      <x:c r="P84" s="73"/>
      <x:c r="Q84" s="73"/>
      <x:c r="R84" s="73"/>
    </x:row>
    <x:row r="85">
      <x:c r="A85" s="73" t="str">
        <x:v>N084</x:v>
      </x:c>
      <x:c r="B85" s="73" t="str">
        <x:v>pendiente</x:v>
      </x:c>
      <x:c r="C85" s="75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7"/>
      <x:c r="P85" s="73"/>
      <x:c r="Q85" s="73"/>
      <x:c r="R85" s="73"/>
    </x:row>
    <x:row r="86">
      <x:c r="A86" s="73" t="str">
        <x:v>N085</x:v>
      </x:c>
      <x:c r="B86" s="73" t="str">
        <x:v>pendiente</x:v>
      </x:c>
      <x:c r="C86" s="75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7"/>
      <x:c r="P86" s="73"/>
      <x:c r="Q86" s="73"/>
      <x:c r="R86" s="73"/>
    </x:row>
    <x:row r="87">
      <x:c r="A87" s="73" t="str">
        <x:v>N086</x:v>
      </x:c>
      <x:c r="B87" s="73" t="str">
        <x:v>pendiente</x:v>
      </x:c>
      <x:c r="C87" s="75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7"/>
      <x:c r="P87" s="73"/>
      <x:c r="Q87" s="73"/>
      <x:c r="R87" s="73"/>
    </x:row>
    <x:row r="88">
      <x:c r="A88" s="73" t="str">
        <x:v>N087</x:v>
      </x:c>
      <x:c r="B88" s="73" t="str">
        <x:v>pendiente</x:v>
      </x:c>
      <x:c r="C88" s="75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7"/>
      <x:c r="P88" s="73"/>
      <x:c r="Q88" s="73"/>
      <x:c r="R88" s="73"/>
    </x:row>
    <x:row r="89">
      <x:c r="A89" s="73" t="str">
        <x:v>N088</x:v>
      </x:c>
      <x:c r="B89" s="73" t="str">
        <x:v>pendiente</x:v>
      </x:c>
      <x:c r="C89" s="75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7"/>
      <x:c r="P89" s="73"/>
      <x:c r="Q89" s="73"/>
      <x:c r="R89" s="73"/>
    </x:row>
    <x:row r="90">
      <x:c r="A90" s="73" t="str">
        <x:v>N089</x:v>
      </x:c>
      <x:c r="B90" s="73" t="str">
        <x:v>pendiente</x:v>
      </x:c>
      <x:c r="C90" s="75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7"/>
      <x:c r="P90" s="73"/>
      <x:c r="Q90" s="73"/>
      <x:c r="R90" s="73"/>
    </x:row>
    <x:row r="91">
      <x:c r="A91" s="73" t="str">
        <x:v>N090</x:v>
      </x:c>
      <x:c r="B91" s="73" t="str">
        <x:v>pendiente</x:v>
      </x:c>
      <x:c r="C91" s="75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7"/>
      <x:c r="P91" s="73"/>
      <x:c r="Q91" s="73"/>
      <x:c r="R91" s="73"/>
    </x:row>
    <x:row r="92">
      <x:c r="A92" s="73" t="str">
        <x:v>N091</x:v>
      </x:c>
      <x:c r="B92" s="73" t="str">
        <x:v>pendiente</x:v>
      </x:c>
      <x:c r="C92" s="75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7"/>
      <x:c r="P92" s="73"/>
      <x:c r="Q92" s="73"/>
      <x:c r="R92" s="73"/>
    </x:row>
    <x:row r="93">
      <x:c r="A93" s="73" t="str">
        <x:v>N092</x:v>
      </x:c>
      <x:c r="B93" s="73" t="str">
        <x:v>pendiente</x:v>
      </x:c>
      <x:c r="C93" s="75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7"/>
      <x:c r="P93" s="73"/>
      <x:c r="Q93" s="73"/>
      <x:c r="R93" s="73"/>
    </x:row>
    <x:row r="94">
      <x:c r="A94" s="73" t="str">
        <x:v>N093</x:v>
      </x:c>
      <x:c r="B94" s="73" t="str">
        <x:v>pendiente</x:v>
      </x:c>
      <x:c r="C94" s="75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7"/>
      <x:c r="P94" s="73"/>
      <x:c r="Q94" s="73"/>
      <x:c r="R94" s="73"/>
    </x:row>
    <x:row r="95">
      <x:c r="A95" s="73" t="str">
        <x:v>N094</x:v>
      </x:c>
      <x:c r="B95" s="73" t="str">
        <x:v>pendiente</x:v>
      </x:c>
      <x:c r="C95" s="75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7"/>
      <x:c r="P95" s="73"/>
      <x:c r="Q95" s="73"/>
      <x:c r="R95" s="73"/>
    </x:row>
    <x:row r="96">
      <x:c r="A96" s="73" t="str">
        <x:v>N095</x:v>
      </x:c>
      <x:c r="B96" s="73" t="str">
        <x:v>pendiente</x:v>
      </x:c>
      <x:c r="C96" s="75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7"/>
      <x:c r="P96" s="73"/>
      <x:c r="Q96" s="73"/>
      <x:c r="R96" s="73"/>
    </x:row>
    <x:row r="97">
      <x:c r="A97" s="73" t="str">
        <x:v>N096</x:v>
      </x:c>
      <x:c r="B97" s="73" t="str">
        <x:v>pendiente</x:v>
      </x:c>
      <x:c r="C97" s="75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7"/>
      <x:c r="P97" s="73"/>
      <x:c r="Q97" s="73"/>
      <x:c r="R97" s="73"/>
    </x:row>
    <x:row r="98">
      <x:c r="A98" s="73" t="str">
        <x:v>N097</x:v>
      </x:c>
      <x:c r="B98" s="73" t="str">
        <x:v>pendiente</x:v>
      </x:c>
      <x:c r="C98" s="75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7"/>
      <x:c r="P98" s="73"/>
      <x:c r="Q98" s="73"/>
      <x:c r="R98" s="73"/>
    </x:row>
    <x:row r="99">
      <x:c r="A99" s="73" t="str">
        <x:v>N098</x:v>
      </x:c>
      <x:c r="B99" s="73" t="str">
        <x:v>pendiente</x:v>
      </x:c>
      <x:c r="C99" s="75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7"/>
      <x:c r="P99" s="73"/>
      <x:c r="Q99" s="73"/>
      <x:c r="R99" s="73"/>
    </x:row>
    <x:row r="100">
      <x:c r="A100" s="73" t="str">
        <x:v>N099</x:v>
      </x:c>
      <x:c r="B100" s="73" t="str">
        <x:v>pendiente</x:v>
      </x:c>
      <x:c r="C100" s="75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7"/>
      <x:c r="P100" s="73"/>
      <x:c r="Q100" s="73"/>
      <x:c r="R100" s="73"/>
    </x:row>
    <x:row r="101">
      <x:c r="A101" s="73" t="str">
        <x:v>N100</x:v>
      </x:c>
      <x:c r="B101" s="73" t="str">
        <x:v>pendiente</x:v>
      </x:c>
      <x:c r="C101" s="75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7"/>
      <x:c r="P101" s="73"/>
      <x:c r="Q101" s="73"/>
      <x:c r="R101" s="73"/>
    </x:row>
  </x:sheetData>
  <x:conditionalFormatting sqref="B2:B101">
    <x:cfRule type="containsText" dxfId="8" priority="1" operator="containsText" text="observado"/>
    <x:cfRule type="containsText" dxfId="9" priority="2" operator="containsText" text="desconocido"/>
  </x:conditionalFormatting>
  <x:dataValidations count="7">
    <x:dataValidation type="list" sqref="B2:B101">
      <x:formula1>"pendiente,observado,inferido,desconocido"</x:formula1>
    </x:dataValidation>
    <x:dataValidation type="list" sqref="D2:D101">
      <x:formula1>"productos,comida_encargo,servicios_digital"</x:formula1>
    </x:dataValidation>
    <x:dataValidation type="list" sqref="F2:F101">
      <x:formula1>"fixed_location,mobile,remote,desconocido"</x:formula1>
    </x:dataValidation>
    <x:dataValidation type="list" sqref="G2:J101">
      <x:formula1>"si,no,desconocido"</x:formula1>
    </x:dataValidation>
    <x:dataValidation type="list" sqref="K2:N101">
      <x:formula1>"si,no,desconocido"</x:formula1>
    </x:dataValidation>
    <x:dataValidation type="list" sqref="P2:P101">
      <x:formula1>"si,no,desconocido"</x:formula1>
    </x:dataValidation>
    <x:dataValidation type="list" sqref="Q2:Q101">
      <x:formula1>"vigente,antigua,desconocida"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7" hidden="0" customWidth="1"/>
    <x:col min="4" max="4" width="22" hidden="0" customWidth="1"/>
    <x:col min="5" max="5" width="32" hidden="0" customWidth="1"/>
    <x:col min="6" max="6" width="21" hidden="0" customWidth="1"/>
    <x:col min="7" max="7" width="14" hidden="0" customWidth="1"/>
    <x:col min="8" max="8" width="21" hidden="0" customWidth="1"/>
    <x:col min="9" max="9" width="20" hidden="0" customWidth="1"/>
    <x:col min="10" max="10" width="36" hidden="0" customWidth="1"/>
  </x:cols>
  <x:sheetData>
    <x:row r="1" ht="42" customHeight="1">
      <x:c r="A1" s="31" t="str">
        <x:v>consulta_codigo</x:v>
      </x:c>
      <x:c r="B1" s="32" t="str">
        <x:v>estado_evidencia</x:v>
      </x:c>
      <x:c r="C1" s="32" t="str">
        <x:v>fecha_observada</x:v>
      </x:c>
      <x:c r="D1" s="32" t="str">
        <x:v>fuente_anonima_codigo</x:v>
      </x:c>
      <x:c r="E1" s="32" t="str">
        <x:v>consulta_normalizada</x:v>
      </x:c>
      <x:c r="F1" s="32" t="str">
        <x:v>cohorte</x:v>
      </x:c>
      <x:c r="G1" s="32" t="str">
        <x:v>repetida</x:v>
      </x:c>
      <x:c r="H1" s="32" t="str">
        <x:v>frecuencia_observada</x:v>
      </x:c>
      <x:c r="I1" s="32" t="str">
        <x:v>dificultad_baseline</x:v>
      </x:c>
      <x:c r="J1" s="33" t="str">
        <x:v>nota_sin_pii</x:v>
      </x:c>
    </x:row>
    <x:row r="2">
      <x:c r="A2" s="72" t="str">
        <x:v>Q01</x:v>
      </x:c>
      <x:c r="B2" s="72" t="str">
        <x:v>pendiente</x:v>
      </x:c>
      <x:c r="C2" s="74"/>
      <x:c r="D2" s="72"/>
      <x:c r="E2" s="72"/>
      <x:c r="F2" s="72"/>
      <x:c r="G2" s="72"/>
      <x:c r="H2" s="76"/>
      <x:c r="I2" s="72"/>
      <x:c r="J2" s="72"/>
    </x:row>
    <x:row r="3">
      <x:c r="A3" s="73" t="str">
        <x:v>Q02</x:v>
      </x:c>
      <x:c r="B3" s="73" t="str">
        <x:v>pendiente</x:v>
      </x:c>
      <x:c r="C3" s="75"/>
      <x:c r="D3" s="73"/>
      <x:c r="E3" s="73"/>
      <x:c r="F3" s="73"/>
      <x:c r="G3" s="73"/>
      <x:c r="H3" s="77"/>
      <x:c r="I3" s="73"/>
      <x:c r="J3" s="73"/>
    </x:row>
    <x:row r="4">
      <x:c r="A4" s="73" t="str">
        <x:v>Q03</x:v>
      </x:c>
      <x:c r="B4" s="73" t="str">
        <x:v>pendiente</x:v>
      </x:c>
      <x:c r="C4" s="75"/>
      <x:c r="D4" s="73"/>
      <x:c r="E4" s="73"/>
      <x:c r="F4" s="73"/>
      <x:c r="G4" s="73"/>
      <x:c r="H4" s="77"/>
      <x:c r="I4" s="73"/>
      <x:c r="J4" s="73"/>
    </x:row>
    <x:row r="5">
      <x:c r="A5" s="73" t="str">
        <x:v>Q04</x:v>
      </x:c>
      <x:c r="B5" s="73" t="str">
        <x:v>pendiente</x:v>
      </x:c>
      <x:c r="C5" s="75"/>
      <x:c r="D5" s="73"/>
      <x:c r="E5" s="73"/>
      <x:c r="F5" s="73"/>
      <x:c r="G5" s="73"/>
      <x:c r="H5" s="77"/>
      <x:c r="I5" s="73"/>
      <x:c r="J5" s="73"/>
    </x:row>
    <x:row r="6">
      <x:c r="A6" s="73" t="str">
        <x:v>Q05</x:v>
      </x:c>
      <x:c r="B6" s="73" t="str">
        <x:v>pendiente</x:v>
      </x:c>
      <x:c r="C6" s="75"/>
      <x:c r="D6" s="73"/>
      <x:c r="E6" s="73"/>
      <x:c r="F6" s="73"/>
      <x:c r="G6" s="73"/>
      <x:c r="H6" s="77"/>
      <x:c r="I6" s="73"/>
      <x:c r="J6" s="73"/>
    </x:row>
    <x:row r="7">
      <x:c r="A7" s="73" t="str">
        <x:v>Q06</x:v>
      </x:c>
      <x:c r="B7" s="73" t="str">
        <x:v>pendiente</x:v>
      </x:c>
      <x:c r="C7" s="75"/>
      <x:c r="D7" s="73"/>
      <x:c r="E7" s="73"/>
      <x:c r="F7" s="73"/>
      <x:c r="G7" s="73"/>
      <x:c r="H7" s="77"/>
      <x:c r="I7" s="73"/>
      <x:c r="J7" s="73"/>
    </x:row>
    <x:row r="8">
      <x:c r="A8" s="73" t="str">
        <x:v>Q07</x:v>
      </x:c>
      <x:c r="B8" s="73" t="str">
        <x:v>pendiente</x:v>
      </x:c>
      <x:c r="C8" s="75"/>
      <x:c r="D8" s="73"/>
      <x:c r="E8" s="73"/>
      <x:c r="F8" s="73"/>
      <x:c r="G8" s="73"/>
      <x:c r="H8" s="77"/>
      <x:c r="I8" s="73"/>
      <x:c r="J8" s="73"/>
    </x:row>
    <x:row r="9">
      <x:c r="A9" s="73" t="str">
        <x:v>Q08</x:v>
      </x:c>
      <x:c r="B9" s="73" t="str">
        <x:v>pendiente</x:v>
      </x:c>
      <x:c r="C9" s="75"/>
      <x:c r="D9" s="73"/>
      <x:c r="E9" s="73"/>
      <x:c r="F9" s="73"/>
      <x:c r="G9" s="73"/>
      <x:c r="H9" s="77"/>
      <x:c r="I9" s="73"/>
      <x:c r="J9" s="73"/>
    </x:row>
    <x:row r="10">
      <x:c r="A10" s="73" t="str">
        <x:v>Q09</x:v>
      </x:c>
      <x:c r="B10" s="73" t="str">
        <x:v>pendiente</x:v>
      </x:c>
      <x:c r="C10" s="75"/>
      <x:c r="D10" s="73"/>
      <x:c r="E10" s="73"/>
      <x:c r="F10" s="73"/>
      <x:c r="G10" s="73"/>
      <x:c r="H10" s="77"/>
      <x:c r="I10" s="73"/>
      <x:c r="J10" s="73"/>
    </x:row>
    <x:row r="11">
      <x:c r="A11" s="73" t="str">
        <x:v>Q10</x:v>
      </x:c>
      <x:c r="B11" s="73" t="str">
        <x:v>pendiente</x:v>
      </x:c>
      <x:c r="C11" s="75"/>
      <x:c r="D11" s="73"/>
      <x:c r="E11" s="73"/>
      <x:c r="F11" s="73"/>
      <x:c r="G11" s="73"/>
      <x:c r="H11" s="77"/>
      <x:c r="I11" s="73"/>
      <x:c r="J11" s="73"/>
    </x:row>
    <x:row r="12">
      <x:c r="A12" s="73" t="str">
        <x:v>Q11</x:v>
      </x:c>
      <x:c r="B12" s="73" t="str">
        <x:v>pendiente</x:v>
      </x:c>
      <x:c r="C12" s="75"/>
      <x:c r="D12" s="73"/>
      <x:c r="E12" s="73"/>
      <x:c r="F12" s="73"/>
      <x:c r="G12" s="73"/>
      <x:c r="H12" s="77"/>
      <x:c r="I12" s="73"/>
      <x:c r="J12" s="73"/>
    </x:row>
    <x:row r="13">
      <x:c r="A13" s="73" t="str">
        <x:v>Q12</x:v>
      </x:c>
      <x:c r="B13" s="73" t="str">
        <x:v>pendiente</x:v>
      </x:c>
      <x:c r="C13" s="75"/>
      <x:c r="D13" s="73"/>
      <x:c r="E13" s="73"/>
      <x:c r="F13" s="73"/>
      <x:c r="G13" s="73"/>
      <x:c r="H13" s="77"/>
      <x:c r="I13" s="73"/>
      <x:c r="J13" s="73"/>
    </x:row>
    <x:row r="14">
      <x:c r="A14" s="73" t="str">
        <x:v>Q13</x:v>
      </x:c>
      <x:c r="B14" s="73" t="str">
        <x:v>pendiente</x:v>
      </x:c>
      <x:c r="C14" s="75"/>
      <x:c r="D14" s="73"/>
      <x:c r="E14" s="73"/>
      <x:c r="F14" s="73"/>
      <x:c r="G14" s="73"/>
      <x:c r="H14" s="77"/>
      <x:c r="I14" s="73"/>
      <x:c r="J14" s="73"/>
    </x:row>
    <x:row r="15">
      <x:c r="A15" s="73" t="str">
        <x:v>Q14</x:v>
      </x:c>
      <x:c r="B15" s="73" t="str">
        <x:v>pendiente</x:v>
      </x:c>
      <x:c r="C15" s="75"/>
      <x:c r="D15" s="73"/>
      <x:c r="E15" s="73"/>
      <x:c r="F15" s="73"/>
      <x:c r="G15" s="73"/>
      <x:c r="H15" s="77"/>
      <x:c r="I15" s="73"/>
      <x:c r="J15" s="73"/>
    </x:row>
    <x:row r="16">
      <x:c r="A16" s="73" t="str">
        <x:v>Q15</x:v>
      </x:c>
      <x:c r="B16" s="73" t="str">
        <x:v>pendiente</x:v>
      </x:c>
      <x:c r="C16" s="75"/>
      <x:c r="D16" s="73"/>
      <x:c r="E16" s="73"/>
      <x:c r="F16" s="73"/>
      <x:c r="G16" s="73"/>
      <x:c r="H16" s="77"/>
      <x:c r="I16" s="73"/>
      <x:c r="J16" s="73"/>
    </x:row>
    <x:row r="17">
      <x:c r="A17" s="73" t="str">
        <x:v>Q16</x:v>
      </x:c>
      <x:c r="B17" s="73" t="str">
        <x:v>pendiente</x:v>
      </x:c>
      <x:c r="C17" s="75"/>
      <x:c r="D17" s="73"/>
      <x:c r="E17" s="73"/>
      <x:c r="F17" s="73"/>
      <x:c r="G17" s="73"/>
      <x:c r="H17" s="77"/>
      <x:c r="I17" s="73"/>
      <x:c r="J17" s="73"/>
    </x:row>
    <x:row r="18">
      <x:c r="A18" s="73" t="str">
        <x:v>Q17</x:v>
      </x:c>
      <x:c r="B18" s="73" t="str">
        <x:v>pendiente</x:v>
      </x:c>
      <x:c r="C18" s="75"/>
      <x:c r="D18" s="73"/>
      <x:c r="E18" s="73"/>
      <x:c r="F18" s="73"/>
      <x:c r="G18" s="73"/>
      <x:c r="H18" s="77"/>
      <x:c r="I18" s="73"/>
      <x:c r="J18" s="73"/>
    </x:row>
    <x:row r="19">
      <x:c r="A19" s="73" t="str">
        <x:v>Q18</x:v>
      </x:c>
      <x:c r="B19" s="73" t="str">
        <x:v>pendiente</x:v>
      </x:c>
      <x:c r="C19" s="75"/>
      <x:c r="D19" s="73"/>
      <x:c r="E19" s="73"/>
      <x:c r="F19" s="73"/>
      <x:c r="G19" s="73"/>
      <x:c r="H19" s="77"/>
      <x:c r="I19" s="73"/>
      <x:c r="J19" s="73"/>
    </x:row>
    <x:row r="20">
      <x:c r="A20" s="73" t="str">
        <x:v>Q19</x:v>
      </x:c>
      <x:c r="B20" s="73" t="str">
        <x:v>pendiente</x:v>
      </x:c>
      <x:c r="C20" s="75"/>
      <x:c r="D20" s="73"/>
      <x:c r="E20" s="73"/>
      <x:c r="F20" s="73"/>
      <x:c r="G20" s="73"/>
      <x:c r="H20" s="77"/>
      <x:c r="I20" s="73"/>
      <x:c r="J20" s="73"/>
    </x:row>
    <x:row r="21">
      <x:c r="A21" s="73" t="str">
        <x:v>Q20</x:v>
      </x:c>
      <x:c r="B21" s="73" t="str">
        <x:v>pendiente</x:v>
      </x:c>
      <x:c r="C21" s="75"/>
      <x:c r="D21" s="73"/>
      <x:c r="E21" s="73"/>
      <x:c r="F21" s="73"/>
      <x:c r="G21" s="73"/>
      <x:c r="H21" s="77"/>
      <x:c r="I21" s="73"/>
      <x:c r="J21" s="73"/>
    </x:row>
  </x:sheetData>
  <x:conditionalFormatting sqref="B2:B21">
    <x:cfRule type="containsText" dxfId="10" priority="1" operator="containsText" text="observado"/>
    <x:cfRule type="containsText" dxfId="11" priority="2" operator="containsText" text="desconocido"/>
  </x:conditionalFormatting>
  <x:dataValidations count="4">
    <x:dataValidation type="list" sqref="B2:B21">
      <x:formula1>"pendiente,observado,inferido,desconocido"</x:formula1>
    </x:dataValidation>
    <x:dataValidation type="list" sqref="F2:F21">
      <x:formula1>"productos,comida_encargo,servicios_digital"</x:formula1>
    </x:dataValidation>
    <x:dataValidation type="list" sqref="G2:G21">
      <x:formula1>"si,no,desconocido"</x:formula1>
    </x:dataValidation>
    <x:dataValidation type="list" sqref="I2:I21">
      <x:formula1>"baja,media,alta,desconocida"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7" hidden="0" customWidth="1"/>
    <x:col min="4" max="4" width="18" hidden="0" customWidth="1"/>
    <x:col min="5" max="5" width="17" hidden="0" customWidth="1"/>
    <x:col min="6" max="6" width="18" hidden="0" customWidth="1"/>
    <x:col min="7" max="7" width="20" hidden="0" customWidth="1"/>
    <x:col min="8" max="8" width="22" hidden="0" customWidth="1"/>
    <x:col min="9" max="9" width="10" hidden="0" customWidth="1"/>
    <x:col min="10" max="10" width="27" hidden="0" customWidth="1"/>
    <x:col min="11" max="11" width="18" hidden="0" customWidth="1"/>
    <x:col min="12" max="12" width="29" hidden="0" customWidth="1"/>
    <x:col min="13" max="13" width="18" hidden="0" customWidth="1"/>
    <x:col min="14" max="14" width="24" hidden="0" customWidth="1"/>
    <x:col min="15" max="15" width="22" hidden="0" customWidth="1"/>
    <x:col min="16" max="16" width="34" hidden="0" customWidth="1"/>
  </x:cols>
  <x:sheetData>
    <x:row r="1" ht="42" customHeight="1">
      <x:c r="A1" s="31" t="str">
        <x:v>intento_codigo</x:v>
      </x:c>
      <x:c r="B1" s="32" t="str">
        <x:v>consulta_codigo</x:v>
      </x:c>
      <x:c r="C1" s="32" t="str">
        <x:v>canal</x:v>
      </x:c>
      <x:c r="D1" s="32" t="str">
        <x:v>estado_evidencia</x:v>
      </x:c>
      <x:c r="E1" s="32" t="str">
        <x:v>fecha_ejecucion</x:v>
      </x:c>
      <x:c r="F1" s="32" t="str">
        <x:v>respuesta_util</x:v>
      </x:c>
      <x:c r="G1" s="32" t="str">
        <x:v>alternativas_utiles</x:v>
      </x:c>
      <x:c r="H1" s="32" t="str">
        <x:v>segundos_hasta_respuesta</x:v>
      </x:c>
      <x:c r="I1" s="32" t="str">
        <x:v>pasos</x:v>
      </x:c>
      <x:c r="J1" s="32" t="str">
        <x:v>precio_o_modalidad_visible</x:v>
      </x:c>
      <x:c r="K1" s="32" t="str">
        <x:v>vigencia_visible</x:v>
      </x:c>
      <x:c r="L1" s="32" t="str">
        <x:v>contexto_cumplimiento_visible</x:v>
      </x:c>
      <x:c r="M1" s="32" t="str">
        <x:v>requiere_cuenta</x:v>
      </x:c>
      <x:c r="N1" s="32" t="str">
        <x:v>dato_faltante</x:v>
      </x:c>
      <x:c r="O1" s="32" t="str">
        <x:v>desenlace</x:v>
      </x:c>
      <x:c r="P1" s="33" t="str">
        <x:v>nota_sin_pii</x:v>
      </x:c>
    </x:row>
    <x:row r="2">
      <x:c r="A2" s="72" t="str">
        <x:v>Q01-C1</x:v>
      </x:c>
      <x:c r="B2" s="72" t="str">
        <x:v>Q01</x:v>
      </x:c>
      <x:c r="C2" s="72" t="str">
        <x:v>Google</x:v>
      </x:c>
      <x:c r="D2" s="72" t="str">
        <x:v>pendiente</x:v>
      </x:c>
      <x:c r="E2" s="74"/>
      <x:c r="F2" s="72"/>
      <x:c r="G2" s="76"/>
      <x:c r="H2" s="76"/>
      <x:c r="I2" s="76"/>
      <x:c r="J2" s="72"/>
      <x:c r="K2" s="72"/>
      <x:c r="L2" s="72"/>
      <x:c r="M2" s="72"/>
      <x:c r="N2" s="72"/>
      <x:c r="O2" s="72"/>
      <x:c r="P2" s="72"/>
    </x:row>
    <x:row r="3">
      <x:c r="A3" s="73" t="str">
        <x:v>Q01-C2</x:v>
      </x:c>
      <x:c r="B3" s="73" t="str">
        <x:v>Q01</x:v>
      </x:c>
      <x:c r="C3" s="73" t="str">
        <x:v>Facebook Marketplace</x:v>
      </x:c>
      <x:c r="D3" s="73" t="str">
        <x:v>pendiente</x:v>
      </x:c>
      <x:c r="E3" s="75"/>
      <x:c r="F3" s="73"/>
      <x:c r="G3" s="77"/>
      <x:c r="H3" s="77"/>
      <x:c r="I3" s="77"/>
      <x:c r="J3" s="73"/>
      <x:c r="K3" s="73"/>
      <x:c r="L3" s="73"/>
      <x:c r="M3" s="73"/>
      <x:c r="N3" s="73"/>
      <x:c r="O3" s="73"/>
      <x:c r="P3" s="73"/>
    </x:row>
    <x:row r="4">
      <x:c r="A4" s="73" t="str">
        <x:v>Q01-C3</x:v>
      </x:c>
      <x:c r="B4" s="73" t="str">
        <x:v>Q01</x:v>
      </x:c>
      <x:c r="C4" s="73" t="str">
        <x:v>Directorio local</x:v>
      </x:c>
      <x:c r="D4" s="73" t="str">
        <x:v>pendiente</x:v>
      </x:c>
      <x:c r="E4" s="75"/>
      <x:c r="F4" s="73"/>
      <x:c r="G4" s="77"/>
      <x:c r="H4" s="77"/>
      <x:c r="I4" s="77"/>
      <x:c r="J4" s="73"/>
      <x:c r="K4" s="73"/>
      <x:c r="L4" s="73"/>
      <x:c r="M4" s="73"/>
      <x:c r="N4" s="73"/>
      <x:c r="O4" s="73"/>
      <x:c r="P4" s="73"/>
    </x:row>
    <x:row r="5">
      <x:c r="A5" s="73" t="str">
        <x:v>Q01-C4</x:v>
      </x:c>
      <x:c r="B5" s="73" t="str">
        <x:v>Q01</x:v>
      </x:c>
      <x:c r="C5" s="73" t="str">
        <x:v>Comercia HN</x:v>
      </x:c>
      <x:c r="D5" s="73" t="str">
        <x:v>pendiente</x:v>
      </x:c>
      <x:c r="E5" s="75"/>
      <x:c r="F5" s="73"/>
      <x:c r="G5" s="77"/>
      <x:c r="H5" s="77"/>
      <x:c r="I5" s="77"/>
      <x:c r="J5" s="73"/>
      <x:c r="K5" s="73"/>
      <x:c r="L5" s="73"/>
      <x:c r="M5" s="73"/>
      <x:c r="N5" s="73"/>
      <x:c r="O5" s="73"/>
      <x:c r="P5" s="73"/>
    </x:row>
    <x:row r="6">
      <x:c r="A6" s="73" t="str">
        <x:v>Q01-C5</x:v>
      </x:c>
      <x:c r="B6" s="73" t="str">
        <x:v>Q01</x:v>
      </x:c>
      <x:c r="C6" s="73" t="str">
        <x:v>WhatsApp/contacto directo</x:v>
      </x:c>
      <x:c r="D6" s="73" t="str">
        <x:v>pendiente</x:v>
      </x:c>
      <x:c r="E6" s="75"/>
      <x:c r="F6" s="73"/>
      <x:c r="G6" s="77"/>
      <x:c r="H6" s="77"/>
      <x:c r="I6" s="77"/>
      <x:c r="J6" s="73"/>
      <x:c r="K6" s="73"/>
      <x:c r="L6" s="73"/>
      <x:c r="M6" s="73"/>
      <x:c r="N6" s="73"/>
      <x:c r="O6" s="73"/>
      <x:c r="P6" s="73"/>
    </x:row>
    <x:row r="7">
      <x:c r="A7" s="73" t="str">
        <x:v>Q01-C6</x:v>
      </x:c>
      <x:c r="B7" s="73" t="str">
        <x:v>Q01</x:v>
      </x:c>
      <x:c r="C7" s="73" t="str">
        <x:v>La Pulperia</x:v>
      </x:c>
      <x:c r="D7" s="73" t="str">
        <x:v>pendiente</x:v>
      </x:c>
      <x:c r="E7" s="75"/>
      <x:c r="F7" s="73"/>
      <x:c r="G7" s="77"/>
      <x:c r="H7" s="77"/>
      <x:c r="I7" s="77"/>
      <x:c r="J7" s="73"/>
      <x:c r="K7" s="73"/>
      <x:c r="L7" s="73"/>
      <x:c r="M7" s="73"/>
      <x:c r="N7" s="73"/>
      <x:c r="O7" s="73"/>
      <x:c r="P7" s="73"/>
    </x:row>
    <x:row r="8">
      <x:c r="A8" s="73" t="str">
        <x:v>Q02-C1</x:v>
      </x:c>
      <x:c r="B8" s="73" t="str">
        <x:v>Q02</x:v>
      </x:c>
      <x:c r="C8" s="73" t="str">
        <x:v>Google</x:v>
      </x:c>
      <x:c r="D8" s="73" t="str">
        <x:v>pendiente</x:v>
      </x:c>
      <x:c r="E8" s="75"/>
      <x:c r="F8" s="73"/>
      <x:c r="G8" s="77"/>
      <x:c r="H8" s="77"/>
      <x:c r="I8" s="77"/>
      <x:c r="J8" s="73"/>
      <x:c r="K8" s="73"/>
      <x:c r="L8" s="73"/>
      <x:c r="M8" s="73"/>
      <x:c r="N8" s="73"/>
      <x:c r="O8" s="73"/>
      <x:c r="P8" s="73"/>
    </x:row>
    <x:row r="9">
      <x:c r="A9" s="73" t="str">
        <x:v>Q02-C2</x:v>
      </x:c>
      <x:c r="B9" s="73" t="str">
        <x:v>Q02</x:v>
      </x:c>
      <x:c r="C9" s="73" t="str">
        <x:v>Facebook Marketplace</x:v>
      </x:c>
      <x:c r="D9" s="73" t="str">
        <x:v>pendiente</x:v>
      </x:c>
      <x:c r="E9" s="75"/>
      <x:c r="F9" s="73"/>
      <x:c r="G9" s="77"/>
      <x:c r="H9" s="77"/>
      <x:c r="I9" s="77"/>
      <x:c r="J9" s="73"/>
      <x:c r="K9" s="73"/>
      <x:c r="L9" s="73"/>
      <x:c r="M9" s="73"/>
      <x:c r="N9" s="73"/>
      <x:c r="O9" s="73"/>
      <x:c r="P9" s="73"/>
    </x:row>
    <x:row r="10">
      <x:c r="A10" s="73" t="str">
        <x:v>Q02-C3</x:v>
      </x:c>
      <x:c r="B10" s="73" t="str">
        <x:v>Q02</x:v>
      </x:c>
      <x:c r="C10" s="73" t="str">
        <x:v>Directorio local</x:v>
      </x:c>
      <x:c r="D10" s="73" t="str">
        <x:v>pendiente</x:v>
      </x:c>
      <x:c r="E10" s="75"/>
      <x:c r="F10" s="73"/>
      <x:c r="G10" s="77"/>
      <x:c r="H10" s="77"/>
      <x:c r="I10" s="77"/>
      <x:c r="J10" s="73"/>
      <x:c r="K10" s="73"/>
      <x:c r="L10" s="73"/>
      <x:c r="M10" s="73"/>
      <x:c r="N10" s="73"/>
      <x:c r="O10" s="73"/>
      <x:c r="P10" s="73"/>
    </x:row>
    <x:row r="11">
      <x:c r="A11" s="73" t="str">
        <x:v>Q02-C4</x:v>
      </x:c>
      <x:c r="B11" s="73" t="str">
        <x:v>Q02</x:v>
      </x:c>
      <x:c r="C11" s="73" t="str">
        <x:v>Comercia HN</x:v>
      </x:c>
      <x:c r="D11" s="73" t="str">
        <x:v>pendiente</x:v>
      </x:c>
      <x:c r="E11" s="75"/>
      <x:c r="F11" s="73"/>
      <x:c r="G11" s="77"/>
      <x:c r="H11" s="77"/>
      <x:c r="I11" s="77"/>
      <x:c r="J11" s="73"/>
      <x:c r="K11" s="73"/>
      <x:c r="L11" s="73"/>
      <x:c r="M11" s="73"/>
      <x:c r="N11" s="73"/>
      <x:c r="O11" s="73"/>
      <x:c r="P11" s="73"/>
    </x:row>
    <x:row r="12">
      <x:c r="A12" s="73" t="str">
        <x:v>Q02-C5</x:v>
      </x:c>
      <x:c r="B12" s="73" t="str">
        <x:v>Q02</x:v>
      </x:c>
      <x:c r="C12" s="73" t="str">
        <x:v>WhatsApp/contacto directo</x:v>
      </x:c>
      <x:c r="D12" s="73" t="str">
        <x:v>pendiente</x:v>
      </x:c>
      <x:c r="E12" s="75"/>
      <x:c r="F12" s="73"/>
      <x:c r="G12" s="77"/>
      <x:c r="H12" s="77"/>
      <x:c r="I12" s="77"/>
      <x:c r="J12" s="73"/>
      <x:c r="K12" s="73"/>
      <x:c r="L12" s="73"/>
      <x:c r="M12" s="73"/>
      <x:c r="N12" s="73"/>
      <x:c r="O12" s="73"/>
      <x:c r="P12" s="73"/>
    </x:row>
    <x:row r="13">
      <x:c r="A13" s="73" t="str">
        <x:v>Q02-C6</x:v>
      </x:c>
      <x:c r="B13" s="73" t="str">
        <x:v>Q02</x:v>
      </x:c>
      <x:c r="C13" s="73" t="str">
        <x:v>La Pulperia</x:v>
      </x:c>
      <x:c r="D13" s="73" t="str">
        <x:v>pendiente</x:v>
      </x:c>
      <x:c r="E13" s="75"/>
      <x:c r="F13" s="73"/>
      <x:c r="G13" s="77"/>
      <x:c r="H13" s="77"/>
      <x:c r="I13" s="77"/>
      <x:c r="J13" s="73"/>
      <x:c r="K13" s="73"/>
      <x:c r="L13" s="73"/>
      <x:c r="M13" s="73"/>
      <x:c r="N13" s="73"/>
      <x:c r="O13" s="73"/>
      <x:c r="P13" s="73"/>
    </x:row>
    <x:row r="14">
      <x:c r="A14" s="73" t="str">
        <x:v>Q03-C1</x:v>
      </x:c>
      <x:c r="B14" s="73" t="str">
        <x:v>Q03</x:v>
      </x:c>
      <x:c r="C14" s="73" t="str">
        <x:v>Google</x:v>
      </x:c>
      <x:c r="D14" s="73" t="str">
        <x:v>pendiente</x:v>
      </x:c>
      <x:c r="E14" s="75"/>
      <x:c r="F14" s="73"/>
      <x:c r="G14" s="77"/>
      <x:c r="H14" s="77"/>
      <x:c r="I14" s="77"/>
      <x:c r="J14" s="73"/>
      <x:c r="K14" s="73"/>
      <x:c r="L14" s="73"/>
      <x:c r="M14" s="73"/>
      <x:c r="N14" s="73"/>
      <x:c r="O14" s="73"/>
      <x:c r="P14" s="73"/>
    </x:row>
    <x:row r="15">
      <x:c r="A15" s="73" t="str">
        <x:v>Q03-C2</x:v>
      </x:c>
      <x:c r="B15" s="73" t="str">
        <x:v>Q03</x:v>
      </x:c>
      <x:c r="C15" s="73" t="str">
        <x:v>Facebook Marketplace</x:v>
      </x:c>
      <x:c r="D15" s="73" t="str">
        <x:v>pendiente</x:v>
      </x:c>
      <x:c r="E15" s="75"/>
      <x:c r="F15" s="73"/>
      <x:c r="G15" s="77"/>
      <x:c r="H15" s="77"/>
      <x:c r="I15" s="77"/>
      <x:c r="J15" s="73"/>
      <x:c r="K15" s="73"/>
      <x:c r="L15" s="73"/>
      <x:c r="M15" s="73"/>
      <x:c r="N15" s="73"/>
      <x:c r="O15" s="73"/>
      <x:c r="P15" s="73"/>
    </x:row>
    <x:row r="16">
      <x:c r="A16" s="73" t="str">
        <x:v>Q03-C3</x:v>
      </x:c>
      <x:c r="B16" s="73" t="str">
        <x:v>Q03</x:v>
      </x:c>
      <x:c r="C16" s="73" t="str">
        <x:v>Directorio local</x:v>
      </x:c>
      <x:c r="D16" s="73" t="str">
        <x:v>pendiente</x:v>
      </x:c>
      <x:c r="E16" s="75"/>
      <x:c r="F16" s="73"/>
      <x:c r="G16" s="77"/>
      <x:c r="H16" s="77"/>
      <x:c r="I16" s="77"/>
      <x:c r="J16" s="73"/>
      <x:c r="K16" s="73"/>
      <x:c r="L16" s="73"/>
      <x:c r="M16" s="73"/>
      <x:c r="N16" s="73"/>
      <x:c r="O16" s="73"/>
      <x:c r="P16" s="73"/>
    </x:row>
    <x:row r="17">
      <x:c r="A17" s="73" t="str">
        <x:v>Q03-C4</x:v>
      </x:c>
      <x:c r="B17" s="73" t="str">
        <x:v>Q03</x:v>
      </x:c>
      <x:c r="C17" s="73" t="str">
        <x:v>Comercia HN</x:v>
      </x:c>
      <x:c r="D17" s="73" t="str">
        <x:v>pendiente</x:v>
      </x:c>
      <x:c r="E17" s="75"/>
      <x:c r="F17" s="73"/>
      <x:c r="G17" s="77"/>
      <x:c r="H17" s="77"/>
      <x:c r="I17" s="77"/>
      <x:c r="J17" s="73"/>
      <x:c r="K17" s="73"/>
      <x:c r="L17" s="73"/>
      <x:c r="M17" s="73"/>
      <x:c r="N17" s="73"/>
      <x:c r="O17" s="73"/>
      <x:c r="P17" s="73"/>
    </x:row>
    <x:row r="18">
      <x:c r="A18" s="73" t="str">
        <x:v>Q03-C5</x:v>
      </x:c>
      <x:c r="B18" s="73" t="str">
        <x:v>Q03</x:v>
      </x:c>
      <x:c r="C18" s="73" t="str">
        <x:v>WhatsApp/contacto directo</x:v>
      </x:c>
      <x:c r="D18" s="73" t="str">
        <x:v>pendiente</x:v>
      </x:c>
      <x:c r="E18" s="75"/>
      <x:c r="F18" s="73"/>
      <x:c r="G18" s="77"/>
      <x:c r="H18" s="77"/>
      <x:c r="I18" s="77"/>
      <x:c r="J18" s="73"/>
      <x:c r="K18" s="73"/>
      <x:c r="L18" s="73"/>
      <x:c r="M18" s="73"/>
      <x:c r="N18" s="73"/>
      <x:c r="O18" s="73"/>
      <x:c r="P18" s="73"/>
    </x:row>
    <x:row r="19">
      <x:c r="A19" s="73" t="str">
        <x:v>Q03-C6</x:v>
      </x:c>
      <x:c r="B19" s="73" t="str">
        <x:v>Q03</x:v>
      </x:c>
      <x:c r="C19" s="73" t="str">
        <x:v>La Pulperia</x:v>
      </x:c>
      <x:c r="D19" s="73" t="str">
        <x:v>pendiente</x:v>
      </x:c>
      <x:c r="E19" s="75"/>
      <x:c r="F19" s="73"/>
      <x:c r="G19" s="77"/>
      <x:c r="H19" s="77"/>
      <x:c r="I19" s="77"/>
      <x:c r="J19" s="73"/>
      <x:c r="K19" s="73"/>
      <x:c r="L19" s="73"/>
      <x:c r="M19" s="73"/>
      <x:c r="N19" s="73"/>
      <x:c r="O19" s="73"/>
      <x:c r="P19" s="73"/>
    </x:row>
    <x:row r="20">
      <x:c r="A20" s="73" t="str">
        <x:v>Q04-C1</x:v>
      </x:c>
      <x:c r="B20" s="73" t="str">
        <x:v>Q04</x:v>
      </x:c>
      <x:c r="C20" s="73" t="str">
        <x:v>Google</x:v>
      </x:c>
      <x:c r="D20" s="73" t="str">
        <x:v>pendiente</x:v>
      </x:c>
      <x:c r="E20" s="75"/>
      <x:c r="F20" s="73"/>
      <x:c r="G20" s="77"/>
      <x:c r="H20" s="77"/>
      <x:c r="I20" s="77"/>
      <x:c r="J20" s="73"/>
      <x:c r="K20" s="73"/>
      <x:c r="L20" s="73"/>
      <x:c r="M20" s="73"/>
      <x:c r="N20" s="73"/>
      <x:c r="O20" s="73"/>
      <x:c r="P20" s="73"/>
    </x:row>
    <x:row r="21">
      <x:c r="A21" s="73" t="str">
        <x:v>Q04-C2</x:v>
      </x:c>
      <x:c r="B21" s="73" t="str">
        <x:v>Q04</x:v>
      </x:c>
      <x:c r="C21" s="73" t="str">
        <x:v>Facebook Marketplace</x:v>
      </x:c>
      <x:c r="D21" s="73" t="str">
        <x:v>pendiente</x:v>
      </x:c>
      <x:c r="E21" s="75"/>
      <x:c r="F21" s="73"/>
      <x:c r="G21" s="77"/>
      <x:c r="H21" s="77"/>
      <x:c r="I21" s="77"/>
      <x:c r="J21" s="73"/>
      <x:c r="K21" s="73"/>
      <x:c r="L21" s="73"/>
      <x:c r="M21" s="73"/>
      <x:c r="N21" s="73"/>
      <x:c r="O21" s="73"/>
      <x:c r="P21" s="73"/>
    </x:row>
    <x:row r="22">
      <x:c r="A22" s="73" t="str">
        <x:v>Q04-C3</x:v>
      </x:c>
      <x:c r="B22" s="73" t="str">
        <x:v>Q04</x:v>
      </x:c>
      <x:c r="C22" s="73" t="str">
        <x:v>Directorio local</x:v>
      </x:c>
      <x:c r="D22" s="73" t="str">
        <x:v>pendiente</x:v>
      </x:c>
      <x:c r="E22" s="75"/>
      <x:c r="F22" s="73"/>
      <x:c r="G22" s="77"/>
      <x:c r="H22" s="77"/>
      <x:c r="I22" s="77"/>
      <x:c r="J22" s="73"/>
      <x:c r="K22" s="73"/>
      <x:c r="L22" s="73"/>
      <x:c r="M22" s="73"/>
      <x:c r="N22" s="73"/>
      <x:c r="O22" s="73"/>
      <x:c r="P22" s="73"/>
    </x:row>
    <x:row r="23">
      <x:c r="A23" s="73" t="str">
        <x:v>Q04-C4</x:v>
      </x:c>
      <x:c r="B23" s="73" t="str">
        <x:v>Q04</x:v>
      </x:c>
      <x:c r="C23" s="73" t="str">
        <x:v>Comercia HN</x:v>
      </x:c>
      <x:c r="D23" s="73" t="str">
        <x:v>pendiente</x:v>
      </x:c>
      <x:c r="E23" s="75"/>
      <x:c r="F23" s="73"/>
      <x:c r="G23" s="77"/>
      <x:c r="H23" s="77"/>
      <x:c r="I23" s="77"/>
      <x:c r="J23" s="73"/>
      <x:c r="K23" s="73"/>
      <x:c r="L23" s="73"/>
      <x:c r="M23" s="73"/>
      <x:c r="N23" s="73"/>
      <x:c r="O23" s="73"/>
      <x:c r="P23" s="73"/>
    </x:row>
    <x:row r="24">
      <x:c r="A24" s="73" t="str">
        <x:v>Q04-C5</x:v>
      </x:c>
      <x:c r="B24" s="73" t="str">
        <x:v>Q04</x:v>
      </x:c>
      <x:c r="C24" s="73" t="str">
        <x:v>WhatsApp/contacto directo</x:v>
      </x:c>
      <x:c r="D24" s="73" t="str">
        <x:v>pendiente</x:v>
      </x:c>
      <x:c r="E24" s="75"/>
      <x:c r="F24" s="73"/>
      <x:c r="G24" s="77"/>
      <x:c r="H24" s="77"/>
      <x:c r="I24" s="77"/>
      <x:c r="J24" s="73"/>
      <x:c r="K24" s="73"/>
      <x:c r="L24" s="73"/>
      <x:c r="M24" s="73"/>
      <x:c r="N24" s="73"/>
      <x:c r="O24" s="73"/>
      <x:c r="P24" s="73"/>
    </x:row>
    <x:row r="25">
      <x:c r="A25" s="73" t="str">
        <x:v>Q04-C6</x:v>
      </x:c>
      <x:c r="B25" s="73" t="str">
        <x:v>Q04</x:v>
      </x:c>
      <x:c r="C25" s="73" t="str">
        <x:v>La Pulperia</x:v>
      </x:c>
      <x:c r="D25" s="73" t="str">
        <x:v>pendiente</x:v>
      </x:c>
      <x:c r="E25" s="75"/>
      <x:c r="F25" s="73"/>
      <x:c r="G25" s="77"/>
      <x:c r="H25" s="77"/>
      <x:c r="I25" s="77"/>
      <x:c r="J25" s="73"/>
      <x:c r="K25" s="73"/>
      <x:c r="L25" s="73"/>
      <x:c r="M25" s="73"/>
      <x:c r="N25" s="73"/>
      <x:c r="O25" s="73"/>
      <x:c r="P25" s="73"/>
    </x:row>
    <x:row r="26">
      <x:c r="A26" s="73" t="str">
        <x:v>Q05-C1</x:v>
      </x:c>
      <x:c r="B26" s="73" t="str">
        <x:v>Q05</x:v>
      </x:c>
      <x:c r="C26" s="73" t="str">
        <x:v>Google</x:v>
      </x:c>
      <x:c r="D26" s="73" t="str">
        <x:v>pendiente</x:v>
      </x:c>
      <x:c r="E26" s="75"/>
      <x:c r="F26" s="73"/>
      <x:c r="G26" s="77"/>
      <x:c r="H26" s="77"/>
      <x:c r="I26" s="77"/>
      <x:c r="J26" s="73"/>
      <x:c r="K26" s="73"/>
      <x:c r="L26" s="73"/>
      <x:c r="M26" s="73"/>
      <x:c r="N26" s="73"/>
      <x:c r="O26" s="73"/>
      <x:c r="P26" s="73"/>
    </x:row>
    <x:row r="27">
      <x:c r="A27" s="73" t="str">
        <x:v>Q05-C2</x:v>
      </x:c>
      <x:c r="B27" s="73" t="str">
        <x:v>Q05</x:v>
      </x:c>
      <x:c r="C27" s="73" t="str">
        <x:v>Facebook Marketplace</x:v>
      </x:c>
      <x:c r="D27" s="73" t="str">
        <x:v>pendiente</x:v>
      </x:c>
      <x:c r="E27" s="75"/>
      <x:c r="F27" s="73"/>
      <x:c r="G27" s="77"/>
      <x:c r="H27" s="77"/>
      <x:c r="I27" s="77"/>
      <x:c r="J27" s="73"/>
      <x:c r="K27" s="73"/>
      <x:c r="L27" s="73"/>
      <x:c r="M27" s="73"/>
      <x:c r="N27" s="73"/>
      <x:c r="O27" s="73"/>
      <x:c r="P27" s="73"/>
    </x:row>
    <x:row r="28">
      <x:c r="A28" s="73" t="str">
        <x:v>Q05-C3</x:v>
      </x:c>
      <x:c r="B28" s="73" t="str">
        <x:v>Q05</x:v>
      </x:c>
      <x:c r="C28" s="73" t="str">
        <x:v>Directorio local</x:v>
      </x:c>
      <x:c r="D28" s="73" t="str">
        <x:v>pendiente</x:v>
      </x:c>
      <x:c r="E28" s="75"/>
      <x:c r="F28" s="73"/>
      <x:c r="G28" s="77"/>
      <x:c r="H28" s="77"/>
      <x:c r="I28" s="77"/>
      <x:c r="J28" s="73"/>
      <x:c r="K28" s="73"/>
      <x:c r="L28" s="73"/>
      <x:c r="M28" s="73"/>
      <x:c r="N28" s="73"/>
      <x:c r="O28" s="73"/>
      <x:c r="P28" s="73"/>
    </x:row>
    <x:row r="29">
      <x:c r="A29" s="73" t="str">
        <x:v>Q05-C4</x:v>
      </x:c>
      <x:c r="B29" s="73" t="str">
        <x:v>Q05</x:v>
      </x:c>
      <x:c r="C29" s="73" t="str">
        <x:v>Comercia HN</x:v>
      </x:c>
      <x:c r="D29" s="73" t="str">
        <x:v>pendiente</x:v>
      </x:c>
      <x:c r="E29" s="75"/>
      <x:c r="F29" s="73"/>
      <x:c r="G29" s="77"/>
      <x:c r="H29" s="77"/>
      <x:c r="I29" s="77"/>
      <x:c r="J29" s="73"/>
      <x:c r="K29" s="73"/>
      <x:c r="L29" s="73"/>
      <x:c r="M29" s="73"/>
      <x:c r="N29" s="73"/>
      <x:c r="O29" s="73"/>
      <x:c r="P29" s="73"/>
    </x:row>
    <x:row r="30">
      <x:c r="A30" s="73" t="str">
        <x:v>Q05-C5</x:v>
      </x:c>
      <x:c r="B30" s="73" t="str">
        <x:v>Q05</x:v>
      </x:c>
      <x:c r="C30" s="73" t="str">
        <x:v>WhatsApp/contacto directo</x:v>
      </x:c>
      <x:c r="D30" s="73" t="str">
        <x:v>pendiente</x:v>
      </x:c>
      <x:c r="E30" s="75"/>
      <x:c r="F30" s="73"/>
      <x:c r="G30" s="77"/>
      <x:c r="H30" s="77"/>
      <x:c r="I30" s="77"/>
      <x:c r="J30" s="73"/>
      <x:c r="K30" s="73"/>
      <x:c r="L30" s="73"/>
      <x:c r="M30" s="73"/>
      <x:c r="N30" s="73"/>
      <x:c r="O30" s="73"/>
      <x:c r="P30" s="73"/>
    </x:row>
    <x:row r="31">
      <x:c r="A31" s="73" t="str">
        <x:v>Q05-C6</x:v>
      </x:c>
      <x:c r="B31" s="73" t="str">
        <x:v>Q05</x:v>
      </x:c>
      <x:c r="C31" s="73" t="str">
        <x:v>La Pulperia</x:v>
      </x:c>
      <x:c r="D31" s="73" t="str">
        <x:v>pendiente</x:v>
      </x:c>
      <x:c r="E31" s="75"/>
      <x:c r="F31" s="73"/>
      <x:c r="G31" s="77"/>
      <x:c r="H31" s="77"/>
      <x:c r="I31" s="77"/>
      <x:c r="J31" s="73"/>
      <x:c r="K31" s="73"/>
      <x:c r="L31" s="73"/>
      <x:c r="M31" s="73"/>
      <x:c r="N31" s="73"/>
      <x:c r="O31" s="73"/>
      <x:c r="P31" s="73"/>
    </x:row>
    <x:row r="32">
      <x:c r="A32" s="73" t="str">
        <x:v>Q06-C1</x:v>
      </x:c>
      <x:c r="B32" s="73" t="str">
        <x:v>Q06</x:v>
      </x:c>
      <x:c r="C32" s="73" t="str">
        <x:v>Google</x:v>
      </x:c>
      <x:c r="D32" s="73" t="str">
        <x:v>pendiente</x:v>
      </x:c>
      <x:c r="E32" s="75"/>
      <x:c r="F32" s="73"/>
      <x:c r="G32" s="77"/>
      <x:c r="H32" s="77"/>
      <x:c r="I32" s="77"/>
      <x:c r="J32" s="73"/>
      <x:c r="K32" s="73"/>
      <x:c r="L32" s="73"/>
      <x:c r="M32" s="73"/>
      <x:c r="N32" s="73"/>
      <x:c r="O32" s="73"/>
      <x:c r="P32" s="73"/>
    </x:row>
    <x:row r="33">
      <x:c r="A33" s="73" t="str">
        <x:v>Q06-C2</x:v>
      </x:c>
      <x:c r="B33" s="73" t="str">
        <x:v>Q06</x:v>
      </x:c>
      <x:c r="C33" s="73" t="str">
        <x:v>Facebook Marketplace</x:v>
      </x:c>
      <x:c r="D33" s="73" t="str">
        <x:v>pendiente</x:v>
      </x:c>
      <x:c r="E33" s="75"/>
      <x:c r="F33" s="73"/>
      <x:c r="G33" s="77"/>
      <x:c r="H33" s="77"/>
      <x:c r="I33" s="77"/>
      <x:c r="J33" s="73"/>
      <x:c r="K33" s="73"/>
      <x:c r="L33" s="73"/>
      <x:c r="M33" s="73"/>
      <x:c r="N33" s="73"/>
      <x:c r="O33" s="73"/>
      <x:c r="P33" s="73"/>
    </x:row>
    <x:row r="34">
      <x:c r="A34" s="73" t="str">
        <x:v>Q06-C3</x:v>
      </x:c>
      <x:c r="B34" s="73" t="str">
        <x:v>Q06</x:v>
      </x:c>
      <x:c r="C34" s="73" t="str">
        <x:v>Directorio local</x:v>
      </x:c>
      <x:c r="D34" s="73" t="str">
        <x:v>pendiente</x:v>
      </x:c>
      <x:c r="E34" s="75"/>
      <x:c r="F34" s="73"/>
      <x:c r="G34" s="77"/>
      <x:c r="H34" s="77"/>
      <x:c r="I34" s="77"/>
      <x:c r="J34" s="73"/>
      <x:c r="K34" s="73"/>
      <x:c r="L34" s="73"/>
      <x:c r="M34" s="73"/>
      <x:c r="N34" s="73"/>
      <x:c r="O34" s="73"/>
      <x:c r="P34" s="73"/>
    </x:row>
    <x:row r="35">
      <x:c r="A35" s="73" t="str">
        <x:v>Q06-C4</x:v>
      </x:c>
      <x:c r="B35" s="73" t="str">
        <x:v>Q06</x:v>
      </x:c>
      <x:c r="C35" s="73" t="str">
        <x:v>Comercia HN</x:v>
      </x:c>
      <x:c r="D35" s="73" t="str">
        <x:v>pendiente</x:v>
      </x:c>
      <x:c r="E35" s="75"/>
      <x:c r="F35" s="73"/>
      <x:c r="G35" s="77"/>
      <x:c r="H35" s="77"/>
      <x:c r="I35" s="77"/>
      <x:c r="J35" s="73"/>
      <x:c r="K35" s="73"/>
      <x:c r="L35" s="73"/>
      <x:c r="M35" s="73"/>
      <x:c r="N35" s="73"/>
      <x:c r="O35" s="73"/>
      <x:c r="P35" s="73"/>
    </x:row>
    <x:row r="36">
      <x:c r="A36" s="73" t="str">
        <x:v>Q06-C5</x:v>
      </x:c>
      <x:c r="B36" s="73" t="str">
        <x:v>Q06</x:v>
      </x:c>
      <x:c r="C36" s="73" t="str">
        <x:v>WhatsApp/contacto directo</x:v>
      </x:c>
      <x:c r="D36" s="73" t="str">
        <x:v>pendiente</x:v>
      </x:c>
      <x:c r="E36" s="75"/>
      <x:c r="F36" s="73"/>
      <x:c r="G36" s="77"/>
      <x:c r="H36" s="77"/>
      <x:c r="I36" s="77"/>
      <x:c r="J36" s="73"/>
      <x:c r="K36" s="73"/>
      <x:c r="L36" s="73"/>
      <x:c r="M36" s="73"/>
      <x:c r="N36" s="73"/>
      <x:c r="O36" s="73"/>
      <x:c r="P36" s="73"/>
    </x:row>
    <x:row r="37">
      <x:c r="A37" s="73" t="str">
        <x:v>Q06-C6</x:v>
      </x:c>
      <x:c r="B37" s="73" t="str">
        <x:v>Q06</x:v>
      </x:c>
      <x:c r="C37" s="73" t="str">
        <x:v>La Pulperia</x:v>
      </x:c>
      <x:c r="D37" s="73" t="str">
        <x:v>pendiente</x:v>
      </x:c>
      <x:c r="E37" s="75"/>
      <x:c r="F37" s="73"/>
      <x:c r="G37" s="77"/>
      <x:c r="H37" s="77"/>
      <x:c r="I37" s="77"/>
      <x:c r="J37" s="73"/>
      <x:c r="K37" s="73"/>
      <x:c r="L37" s="73"/>
      <x:c r="M37" s="73"/>
      <x:c r="N37" s="73"/>
      <x:c r="O37" s="73"/>
      <x:c r="P37" s="73"/>
    </x:row>
    <x:row r="38">
      <x:c r="A38" s="73" t="str">
        <x:v>Q07-C1</x:v>
      </x:c>
      <x:c r="B38" s="73" t="str">
        <x:v>Q07</x:v>
      </x:c>
      <x:c r="C38" s="73" t="str">
        <x:v>Google</x:v>
      </x:c>
      <x:c r="D38" s="73" t="str">
        <x:v>pendiente</x:v>
      </x:c>
      <x:c r="E38" s="75"/>
      <x:c r="F38" s="73"/>
      <x:c r="G38" s="77"/>
      <x:c r="H38" s="77"/>
      <x:c r="I38" s="77"/>
      <x:c r="J38" s="73"/>
      <x:c r="K38" s="73"/>
      <x:c r="L38" s="73"/>
      <x:c r="M38" s="73"/>
      <x:c r="N38" s="73"/>
      <x:c r="O38" s="73"/>
      <x:c r="P38" s="73"/>
    </x:row>
    <x:row r="39">
      <x:c r="A39" s="73" t="str">
        <x:v>Q07-C2</x:v>
      </x:c>
      <x:c r="B39" s="73" t="str">
        <x:v>Q07</x:v>
      </x:c>
      <x:c r="C39" s="73" t="str">
        <x:v>Facebook Marketplace</x:v>
      </x:c>
      <x:c r="D39" s="73" t="str">
        <x:v>pendiente</x:v>
      </x:c>
      <x:c r="E39" s="75"/>
      <x:c r="F39" s="73"/>
      <x:c r="G39" s="77"/>
      <x:c r="H39" s="77"/>
      <x:c r="I39" s="77"/>
      <x:c r="J39" s="73"/>
      <x:c r="K39" s="73"/>
      <x:c r="L39" s="73"/>
      <x:c r="M39" s="73"/>
      <x:c r="N39" s="73"/>
      <x:c r="O39" s="73"/>
      <x:c r="P39" s="73"/>
    </x:row>
    <x:row r="40">
      <x:c r="A40" s="73" t="str">
        <x:v>Q07-C3</x:v>
      </x:c>
      <x:c r="B40" s="73" t="str">
        <x:v>Q07</x:v>
      </x:c>
      <x:c r="C40" s="73" t="str">
        <x:v>Directorio local</x:v>
      </x:c>
      <x:c r="D40" s="73" t="str">
        <x:v>pendiente</x:v>
      </x:c>
      <x:c r="E40" s="75"/>
      <x:c r="F40" s="73"/>
      <x:c r="G40" s="77"/>
      <x:c r="H40" s="77"/>
      <x:c r="I40" s="77"/>
      <x:c r="J40" s="73"/>
      <x:c r="K40" s="73"/>
      <x:c r="L40" s="73"/>
      <x:c r="M40" s="73"/>
      <x:c r="N40" s="73"/>
      <x:c r="O40" s="73"/>
      <x:c r="P40" s="73"/>
    </x:row>
    <x:row r="41">
      <x:c r="A41" s="73" t="str">
        <x:v>Q07-C4</x:v>
      </x:c>
      <x:c r="B41" s="73" t="str">
        <x:v>Q07</x:v>
      </x:c>
      <x:c r="C41" s="73" t="str">
        <x:v>Comercia HN</x:v>
      </x:c>
      <x:c r="D41" s="73" t="str">
        <x:v>pendiente</x:v>
      </x:c>
      <x:c r="E41" s="75"/>
      <x:c r="F41" s="73"/>
      <x:c r="G41" s="77"/>
      <x:c r="H41" s="77"/>
      <x:c r="I41" s="77"/>
      <x:c r="J41" s="73"/>
      <x:c r="K41" s="73"/>
      <x:c r="L41" s="73"/>
      <x:c r="M41" s="73"/>
      <x:c r="N41" s="73"/>
      <x:c r="O41" s="73"/>
      <x:c r="P41" s="73"/>
    </x:row>
    <x:row r="42">
      <x:c r="A42" s="73" t="str">
        <x:v>Q07-C5</x:v>
      </x:c>
      <x:c r="B42" s="73" t="str">
        <x:v>Q07</x:v>
      </x:c>
      <x:c r="C42" s="73" t="str">
        <x:v>WhatsApp/contacto directo</x:v>
      </x:c>
      <x:c r="D42" s="73" t="str">
        <x:v>pendiente</x:v>
      </x:c>
      <x:c r="E42" s="75"/>
      <x:c r="F42" s="73"/>
      <x:c r="G42" s="77"/>
      <x:c r="H42" s="77"/>
      <x:c r="I42" s="77"/>
      <x:c r="J42" s="73"/>
      <x:c r="K42" s="73"/>
      <x:c r="L42" s="73"/>
      <x:c r="M42" s="73"/>
      <x:c r="N42" s="73"/>
      <x:c r="O42" s="73"/>
      <x:c r="P42" s="73"/>
    </x:row>
    <x:row r="43">
      <x:c r="A43" s="73" t="str">
        <x:v>Q07-C6</x:v>
      </x:c>
      <x:c r="B43" s="73" t="str">
        <x:v>Q07</x:v>
      </x:c>
      <x:c r="C43" s="73" t="str">
        <x:v>La Pulperia</x:v>
      </x:c>
      <x:c r="D43" s="73" t="str">
        <x:v>pendiente</x:v>
      </x:c>
      <x:c r="E43" s="75"/>
      <x:c r="F43" s="73"/>
      <x:c r="G43" s="77"/>
      <x:c r="H43" s="77"/>
      <x:c r="I43" s="77"/>
      <x:c r="J43" s="73"/>
      <x:c r="K43" s="73"/>
      <x:c r="L43" s="73"/>
      <x:c r="M43" s="73"/>
      <x:c r="N43" s="73"/>
      <x:c r="O43" s="73"/>
      <x:c r="P43" s="73"/>
    </x:row>
    <x:row r="44">
      <x:c r="A44" s="73" t="str">
        <x:v>Q08-C1</x:v>
      </x:c>
      <x:c r="B44" s="73" t="str">
        <x:v>Q08</x:v>
      </x:c>
      <x:c r="C44" s="73" t="str">
        <x:v>Google</x:v>
      </x:c>
      <x:c r="D44" s="73" t="str">
        <x:v>pendiente</x:v>
      </x:c>
      <x:c r="E44" s="75"/>
      <x:c r="F44" s="73"/>
      <x:c r="G44" s="77"/>
      <x:c r="H44" s="77"/>
      <x:c r="I44" s="77"/>
      <x:c r="J44" s="73"/>
      <x:c r="K44" s="73"/>
      <x:c r="L44" s="73"/>
      <x:c r="M44" s="73"/>
      <x:c r="N44" s="73"/>
      <x:c r="O44" s="73"/>
      <x:c r="P44" s="73"/>
    </x:row>
    <x:row r="45">
      <x:c r="A45" s="73" t="str">
        <x:v>Q08-C2</x:v>
      </x:c>
      <x:c r="B45" s="73" t="str">
        <x:v>Q08</x:v>
      </x:c>
      <x:c r="C45" s="73" t="str">
        <x:v>Facebook Marketplace</x:v>
      </x:c>
      <x:c r="D45" s="73" t="str">
        <x:v>pendiente</x:v>
      </x:c>
      <x:c r="E45" s="75"/>
      <x:c r="F45" s="73"/>
      <x:c r="G45" s="77"/>
      <x:c r="H45" s="77"/>
      <x:c r="I45" s="77"/>
      <x:c r="J45" s="73"/>
      <x:c r="K45" s="73"/>
      <x:c r="L45" s="73"/>
      <x:c r="M45" s="73"/>
      <x:c r="N45" s="73"/>
      <x:c r="O45" s="73"/>
      <x:c r="P45" s="73"/>
    </x:row>
    <x:row r="46">
      <x:c r="A46" s="73" t="str">
        <x:v>Q08-C3</x:v>
      </x:c>
      <x:c r="B46" s="73" t="str">
        <x:v>Q08</x:v>
      </x:c>
      <x:c r="C46" s="73" t="str">
        <x:v>Directorio local</x:v>
      </x:c>
      <x:c r="D46" s="73" t="str">
        <x:v>pendiente</x:v>
      </x:c>
      <x:c r="E46" s="75"/>
      <x:c r="F46" s="73"/>
      <x:c r="G46" s="77"/>
      <x:c r="H46" s="77"/>
      <x:c r="I46" s="77"/>
      <x:c r="J46" s="73"/>
      <x:c r="K46" s="73"/>
      <x:c r="L46" s="73"/>
      <x:c r="M46" s="73"/>
      <x:c r="N46" s="73"/>
      <x:c r="O46" s="73"/>
      <x:c r="P46" s="73"/>
    </x:row>
    <x:row r="47">
      <x:c r="A47" s="73" t="str">
        <x:v>Q08-C4</x:v>
      </x:c>
      <x:c r="B47" s="73" t="str">
        <x:v>Q08</x:v>
      </x:c>
      <x:c r="C47" s="73" t="str">
        <x:v>Comercia HN</x:v>
      </x:c>
      <x:c r="D47" s="73" t="str">
        <x:v>pendiente</x:v>
      </x:c>
      <x:c r="E47" s="75"/>
      <x:c r="F47" s="73"/>
      <x:c r="G47" s="77"/>
      <x:c r="H47" s="77"/>
      <x:c r="I47" s="77"/>
      <x:c r="J47" s="73"/>
      <x:c r="K47" s="73"/>
      <x:c r="L47" s="73"/>
      <x:c r="M47" s="73"/>
      <x:c r="N47" s="73"/>
      <x:c r="O47" s="73"/>
      <x:c r="P47" s="73"/>
    </x:row>
    <x:row r="48">
      <x:c r="A48" s="73" t="str">
        <x:v>Q08-C5</x:v>
      </x:c>
      <x:c r="B48" s="73" t="str">
        <x:v>Q08</x:v>
      </x:c>
      <x:c r="C48" s="73" t="str">
        <x:v>WhatsApp/contacto directo</x:v>
      </x:c>
      <x:c r="D48" s="73" t="str">
        <x:v>pendiente</x:v>
      </x:c>
      <x:c r="E48" s="75"/>
      <x:c r="F48" s="73"/>
      <x:c r="G48" s="77"/>
      <x:c r="H48" s="77"/>
      <x:c r="I48" s="77"/>
      <x:c r="J48" s="73"/>
      <x:c r="K48" s="73"/>
      <x:c r="L48" s="73"/>
      <x:c r="M48" s="73"/>
      <x:c r="N48" s="73"/>
      <x:c r="O48" s="73"/>
      <x:c r="P48" s="73"/>
    </x:row>
    <x:row r="49">
      <x:c r="A49" s="73" t="str">
        <x:v>Q08-C6</x:v>
      </x:c>
      <x:c r="B49" s="73" t="str">
        <x:v>Q08</x:v>
      </x:c>
      <x:c r="C49" s="73" t="str">
        <x:v>La Pulperia</x:v>
      </x:c>
      <x:c r="D49" s="73" t="str">
        <x:v>pendiente</x:v>
      </x:c>
      <x:c r="E49" s="75"/>
      <x:c r="F49" s="73"/>
      <x:c r="G49" s="77"/>
      <x:c r="H49" s="77"/>
      <x:c r="I49" s="77"/>
      <x:c r="J49" s="73"/>
      <x:c r="K49" s="73"/>
      <x:c r="L49" s="73"/>
      <x:c r="M49" s="73"/>
      <x:c r="N49" s="73"/>
      <x:c r="O49" s="73"/>
      <x:c r="P49" s="73"/>
    </x:row>
    <x:row r="50">
      <x:c r="A50" s="73" t="str">
        <x:v>Q09-C1</x:v>
      </x:c>
      <x:c r="B50" s="73" t="str">
        <x:v>Q09</x:v>
      </x:c>
      <x:c r="C50" s="73" t="str">
        <x:v>Google</x:v>
      </x:c>
      <x:c r="D50" s="73" t="str">
        <x:v>pendiente</x:v>
      </x:c>
      <x:c r="E50" s="75"/>
      <x:c r="F50" s="73"/>
      <x:c r="G50" s="77"/>
      <x:c r="H50" s="77"/>
      <x:c r="I50" s="77"/>
      <x:c r="J50" s="73"/>
      <x:c r="K50" s="73"/>
      <x:c r="L50" s="73"/>
      <x:c r="M50" s="73"/>
      <x:c r="N50" s="73"/>
      <x:c r="O50" s="73"/>
      <x:c r="P50" s="73"/>
    </x:row>
    <x:row r="51">
      <x:c r="A51" s="73" t="str">
        <x:v>Q09-C2</x:v>
      </x:c>
      <x:c r="B51" s="73" t="str">
        <x:v>Q09</x:v>
      </x:c>
      <x:c r="C51" s="73" t="str">
        <x:v>Facebook Marketplace</x:v>
      </x:c>
      <x:c r="D51" s="73" t="str">
        <x:v>pendiente</x:v>
      </x:c>
      <x:c r="E51" s="75"/>
      <x:c r="F51" s="73"/>
      <x:c r="G51" s="77"/>
      <x:c r="H51" s="77"/>
      <x:c r="I51" s="77"/>
      <x:c r="J51" s="73"/>
      <x:c r="K51" s="73"/>
      <x:c r="L51" s="73"/>
      <x:c r="M51" s="73"/>
      <x:c r="N51" s="73"/>
      <x:c r="O51" s="73"/>
      <x:c r="P51" s="73"/>
    </x:row>
    <x:row r="52">
      <x:c r="A52" s="73" t="str">
        <x:v>Q09-C3</x:v>
      </x:c>
      <x:c r="B52" s="73" t="str">
        <x:v>Q09</x:v>
      </x:c>
      <x:c r="C52" s="73" t="str">
        <x:v>Directorio local</x:v>
      </x:c>
      <x:c r="D52" s="73" t="str">
        <x:v>pendiente</x:v>
      </x:c>
      <x:c r="E52" s="75"/>
      <x:c r="F52" s="73"/>
      <x:c r="G52" s="77"/>
      <x:c r="H52" s="77"/>
      <x:c r="I52" s="77"/>
      <x:c r="J52" s="73"/>
      <x:c r="K52" s="73"/>
      <x:c r="L52" s="73"/>
      <x:c r="M52" s="73"/>
      <x:c r="N52" s="73"/>
      <x:c r="O52" s="73"/>
      <x:c r="P52" s="73"/>
    </x:row>
    <x:row r="53">
      <x:c r="A53" s="73" t="str">
        <x:v>Q09-C4</x:v>
      </x:c>
      <x:c r="B53" s="73" t="str">
        <x:v>Q09</x:v>
      </x:c>
      <x:c r="C53" s="73" t="str">
        <x:v>Comercia HN</x:v>
      </x:c>
      <x:c r="D53" s="73" t="str">
        <x:v>pendiente</x:v>
      </x:c>
      <x:c r="E53" s="75"/>
      <x:c r="F53" s="73"/>
      <x:c r="G53" s="77"/>
      <x:c r="H53" s="77"/>
      <x:c r="I53" s="77"/>
      <x:c r="J53" s="73"/>
      <x:c r="K53" s="73"/>
      <x:c r="L53" s="73"/>
      <x:c r="M53" s="73"/>
      <x:c r="N53" s="73"/>
      <x:c r="O53" s="73"/>
      <x:c r="P53" s="73"/>
    </x:row>
    <x:row r="54">
      <x:c r="A54" s="73" t="str">
        <x:v>Q09-C5</x:v>
      </x:c>
      <x:c r="B54" s="73" t="str">
        <x:v>Q09</x:v>
      </x:c>
      <x:c r="C54" s="73" t="str">
        <x:v>WhatsApp/contacto directo</x:v>
      </x:c>
      <x:c r="D54" s="73" t="str">
        <x:v>pendiente</x:v>
      </x:c>
      <x:c r="E54" s="75"/>
      <x:c r="F54" s="73"/>
      <x:c r="G54" s="77"/>
      <x:c r="H54" s="77"/>
      <x:c r="I54" s="77"/>
      <x:c r="J54" s="73"/>
      <x:c r="K54" s="73"/>
      <x:c r="L54" s="73"/>
      <x:c r="M54" s="73"/>
      <x:c r="N54" s="73"/>
      <x:c r="O54" s="73"/>
      <x:c r="P54" s="73"/>
    </x:row>
    <x:row r="55">
      <x:c r="A55" s="73" t="str">
        <x:v>Q09-C6</x:v>
      </x:c>
      <x:c r="B55" s="73" t="str">
        <x:v>Q09</x:v>
      </x:c>
      <x:c r="C55" s="73" t="str">
        <x:v>La Pulperia</x:v>
      </x:c>
      <x:c r="D55" s="73" t="str">
        <x:v>pendiente</x:v>
      </x:c>
      <x:c r="E55" s="75"/>
      <x:c r="F55" s="73"/>
      <x:c r="G55" s="77"/>
      <x:c r="H55" s="77"/>
      <x:c r="I55" s="77"/>
      <x:c r="J55" s="73"/>
      <x:c r="K55" s="73"/>
      <x:c r="L55" s="73"/>
      <x:c r="M55" s="73"/>
      <x:c r="N55" s="73"/>
      <x:c r="O55" s="73"/>
      <x:c r="P55" s="73"/>
    </x:row>
    <x:row r="56">
      <x:c r="A56" s="73" t="str">
        <x:v>Q10-C1</x:v>
      </x:c>
      <x:c r="B56" s="73" t="str">
        <x:v>Q10</x:v>
      </x:c>
      <x:c r="C56" s="73" t="str">
        <x:v>Google</x:v>
      </x:c>
      <x:c r="D56" s="73" t="str">
        <x:v>pendiente</x:v>
      </x:c>
      <x:c r="E56" s="75"/>
      <x:c r="F56" s="73"/>
      <x:c r="G56" s="77"/>
      <x:c r="H56" s="77"/>
      <x:c r="I56" s="77"/>
      <x:c r="J56" s="73"/>
      <x:c r="K56" s="73"/>
      <x:c r="L56" s="73"/>
      <x:c r="M56" s="73"/>
      <x:c r="N56" s="73"/>
      <x:c r="O56" s="73"/>
      <x:c r="P56" s="73"/>
    </x:row>
    <x:row r="57">
      <x:c r="A57" s="73" t="str">
        <x:v>Q10-C2</x:v>
      </x:c>
      <x:c r="B57" s="73" t="str">
        <x:v>Q10</x:v>
      </x:c>
      <x:c r="C57" s="73" t="str">
        <x:v>Facebook Marketplace</x:v>
      </x:c>
      <x:c r="D57" s="73" t="str">
        <x:v>pendiente</x:v>
      </x:c>
      <x:c r="E57" s="75"/>
      <x:c r="F57" s="73"/>
      <x:c r="G57" s="77"/>
      <x:c r="H57" s="77"/>
      <x:c r="I57" s="77"/>
      <x:c r="J57" s="73"/>
      <x:c r="K57" s="73"/>
      <x:c r="L57" s="73"/>
      <x:c r="M57" s="73"/>
      <x:c r="N57" s="73"/>
      <x:c r="O57" s="73"/>
      <x:c r="P57" s="73"/>
    </x:row>
    <x:row r="58">
      <x:c r="A58" s="73" t="str">
        <x:v>Q10-C3</x:v>
      </x:c>
      <x:c r="B58" s="73" t="str">
        <x:v>Q10</x:v>
      </x:c>
      <x:c r="C58" s="73" t="str">
        <x:v>Directorio local</x:v>
      </x:c>
      <x:c r="D58" s="73" t="str">
        <x:v>pendiente</x:v>
      </x:c>
      <x:c r="E58" s="75"/>
      <x:c r="F58" s="73"/>
      <x:c r="G58" s="77"/>
      <x:c r="H58" s="77"/>
      <x:c r="I58" s="77"/>
      <x:c r="J58" s="73"/>
      <x:c r="K58" s="73"/>
      <x:c r="L58" s="73"/>
      <x:c r="M58" s="73"/>
      <x:c r="N58" s="73"/>
      <x:c r="O58" s="73"/>
      <x:c r="P58" s="73"/>
    </x:row>
    <x:row r="59">
      <x:c r="A59" s="73" t="str">
        <x:v>Q10-C4</x:v>
      </x:c>
      <x:c r="B59" s="73" t="str">
        <x:v>Q10</x:v>
      </x:c>
      <x:c r="C59" s="73" t="str">
        <x:v>Comercia HN</x:v>
      </x:c>
      <x:c r="D59" s="73" t="str">
        <x:v>pendiente</x:v>
      </x:c>
      <x:c r="E59" s="75"/>
      <x:c r="F59" s="73"/>
      <x:c r="G59" s="77"/>
      <x:c r="H59" s="77"/>
      <x:c r="I59" s="77"/>
      <x:c r="J59" s="73"/>
      <x:c r="K59" s="73"/>
      <x:c r="L59" s="73"/>
      <x:c r="M59" s="73"/>
      <x:c r="N59" s="73"/>
      <x:c r="O59" s="73"/>
      <x:c r="P59" s="73"/>
    </x:row>
    <x:row r="60">
      <x:c r="A60" s="73" t="str">
        <x:v>Q10-C5</x:v>
      </x:c>
      <x:c r="B60" s="73" t="str">
        <x:v>Q10</x:v>
      </x:c>
      <x:c r="C60" s="73" t="str">
        <x:v>WhatsApp/contacto directo</x:v>
      </x:c>
      <x:c r="D60" s="73" t="str">
        <x:v>pendiente</x:v>
      </x:c>
      <x:c r="E60" s="75"/>
      <x:c r="F60" s="73"/>
      <x:c r="G60" s="77"/>
      <x:c r="H60" s="77"/>
      <x:c r="I60" s="77"/>
      <x:c r="J60" s="73"/>
      <x:c r="K60" s="73"/>
      <x:c r="L60" s="73"/>
      <x:c r="M60" s="73"/>
      <x:c r="N60" s="73"/>
      <x:c r="O60" s="73"/>
      <x:c r="P60" s="73"/>
    </x:row>
    <x:row r="61">
      <x:c r="A61" s="73" t="str">
        <x:v>Q10-C6</x:v>
      </x:c>
      <x:c r="B61" s="73" t="str">
        <x:v>Q10</x:v>
      </x:c>
      <x:c r="C61" s="73" t="str">
        <x:v>La Pulperia</x:v>
      </x:c>
      <x:c r="D61" s="73" t="str">
        <x:v>pendiente</x:v>
      </x:c>
      <x:c r="E61" s="75"/>
      <x:c r="F61" s="73"/>
      <x:c r="G61" s="77"/>
      <x:c r="H61" s="77"/>
      <x:c r="I61" s="77"/>
      <x:c r="J61" s="73"/>
      <x:c r="K61" s="73"/>
      <x:c r="L61" s="73"/>
      <x:c r="M61" s="73"/>
      <x:c r="N61" s="73"/>
      <x:c r="O61" s="73"/>
      <x:c r="P61" s="73"/>
    </x:row>
    <x:row r="62">
      <x:c r="A62" s="73" t="str">
        <x:v>Q11-C1</x:v>
      </x:c>
      <x:c r="B62" s="73" t="str">
        <x:v>Q11</x:v>
      </x:c>
      <x:c r="C62" s="73" t="str">
        <x:v>Google</x:v>
      </x:c>
      <x:c r="D62" s="73" t="str">
        <x:v>pendiente</x:v>
      </x:c>
      <x:c r="E62" s="75"/>
      <x:c r="F62" s="73"/>
      <x:c r="G62" s="77"/>
      <x:c r="H62" s="77"/>
      <x:c r="I62" s="77"/>
      <x:c r="J62" s="73"/>
      <x:c r="K62" s="73"/>
      <x:c r="L62" s="73"/>
      <x:c r="M62" s="73"/>
      <x:c r="N62" s="73"/>
      <x:c r="O62" s="73"/>
      <x:c r="P62" s="73"/>
    </x:row>
    <x:row r="63">
      <x:c r="A63" s="73" t="str">
        <x:v>Q11-C2</x:v>
      </x:c>
      <x:c r="B63" s="73" t="str">
        <x:v>Q11</x:v>
      </x:c>
      <x:c r="C63" s="73" t="str">
        <x:v>Facebook Marketplace</x:v>
      </x:c>
      <x:c r="D63" s="73" t="str">
        <x:v>pendiente</x:v>
      </x:c>
      <x:c r="E63" s="75"/>
      <x:c r="F63" s="73"/>
      <x:c r="G63" s="77"/>
      <x:c r="H63" s="77"/>
      <x:c r="I63" s="77"/>
      <x:c r="J63" s="73"/>
      <x:c r="K63" s="73"/>
      <x:c r="L63" s="73"/>
      <x:c r="M63" s="73"/>
      <x:c r="N63" s="73"/>
      <x:c r="O63" s="73"/>
      <x:c r="P63" s="73"/>
    </x:row>
    <x:row r="64">
      <x:c r="A64" s="73" t="str">
        <x:v>Q11-C3</x:v>
      </x:c>
      <x:c r="B64" s="73" t="str">
        <x:v>Q11</x:v>
      </x:c>
      <x:c r="C64" s="73" t="str">
        <x:v>Directorio local</x:v>
      </x:c>
      <x:c r="D64" s="73" t="str">
        <x:v>pendiente</x:v>
      </x:c>
      <x:c r="E64" s="75"/>
      <x:c r="F64" s="73"/>
      <x:c r="G64" s="77"/>
      <x:c r="H64" s="77"/>
      <x:c r="I64" s="77"/>
      <x:c r="J64" s="73"/>
      <x:c r="K64" s="73"/>
      <x:c r="L64" s="73"/>
      <x:c r="M64" s="73"/>
      <x:c r="N64" s="73"/>
      <x:c r="O64" s="73"/>
      <x:c r="P64" s="73"/>
    </x:row>
    <x:row r="65">
      <x:c r="A65" s="73" t="str">
        <x:v>Q11-C4</x:v>
      </x:c>
      <x:c r="B65" s="73" t="str">
        <x:v>Q11</x:v>
      </x:c>
      <x:c r="C65" s="73" t="str">
        <x:v>Comercia HN</x:v>
      </x:c>
      <x:c r="D65" s="73" t="str">
        <x:v>pendiente</x:v>
      </x:c>
      <x:c r="E65" s="75"/>
      <x:c r="F65" s="73"/>
      <x:c r="G65" s="77"/>
      <x:c r="H65" s="77"/>
      <x:c r="I65" s="77"/>
      <x:c r="J65" s="73"/>
      <x:c r="K65" s="73"/>
      <x:c r="L65" s="73"/>
      <x:c r="M65" s="73"/>
      <x:c r="N65" s="73"/>
      <x:c r="O65" s="73"/>
      <x:c r="P65" s="73"/>
    </x:row>
    <x:row r="66">
      <x:c r="A66" s="73" t="str">
        <x:v>Q11-C5</x:v>
      </x:c>
      <x:c r="B66" s="73" t="str">
        <x:v>Q11</x:v>
      </x:c>
      <x:c r="C66" s="73" t="str">
        <x:v>WhatsApp/contacto directo</x:v>
      </x:c>
      <x:c r="D66" s="73" t="str">
        <x:v>pendiente</x:v>
      </x:c>
      <x:c r="E66" s="75"/>
      <x:c r="F66" s="73"/>
      <x:c r="G66" s="77"/>
      <x:c r="H66" s="77"/>
      <x:c r="I66" s="77"/>
      <x:c r="J66" s="73"/>
      <x:c r="K66" s="73"/>
      <x:c r="L66" s="73"/>
      <x:c r="M66" s="73"/>
      <x:c r="N66" s="73"/>
      <x:c r="O66" s="73"/>
      <x:c r="P66" s="73"/>
    </x:row>
    <x:row r="67">
      <x:c r="A67" s="73" t="str">
        <x:v>Q11-C6</x:v>
      </x:c>
      <x:c r="B67" s="73" t="str">
        <x:v>Q11</x:v>
      </x:c>
      <x:c r="C67" s="73" t="str">
        <x:v>La Pulperia</x:v>
      </x:c>
      <x:c r="D67" s="73" t="str">
        <x:v>pendiente</x:v>
      </x:c>
      <x:c r="E67" s="75"/>
      <x:c r="F67" s="73"/>
      <x:c r="G67" s="77"/>
      <x:c r="H67" s="77"/>
      <x:c r="I67" s="77"/>
      <x:c r="J67" s="73"/>
      <x:c r="K67" s="73"/>
      <x:c r="L67" s="73"/>
      <x:c r="M67" s="73"/>
      <x:c r="N67" s="73"/>
      <x:c r="O67" s="73"/>
      <x:c r="P67" s="73"/>
    </x:row>
    <x:row r="68">
      <x:c r="A68" s="73" t="str">
        <x:v>Q12-C1</x:v>
      </x:c>
      <x:c r="B68" s="73" t="str">
        <x:v>Q12</x:v>
      </x:c>
      <x:c r="C68" s="73" t="str">
        <x:v>Google</x:v>
      </x:c>
      <x:c r="D68" s="73" t="str">
        <x:v>pendiente</x:v>
      </x:c>
      <x:c r="E68" s="75"/>
      <x:c r="F68" s="73"/>
      <x:c r="G68" s="77"/>
      <x:c r="H68" s="77"/>
      <x:c r="I68" s="77"/>
      <x:c r="J68" s="73"/>
      <x:c r="K68" s="73"/>
      <x:c r="L68" s="73"/>
      <x:c r="M68" s="73"/>
      <x:c r="N68" s="73"/>
      <x:c r="O68" s="73"/>
      <x:c r="P68" s="73"/>
    </x:row>
    <x:row r="69">
      <x:c r="A69" s="73" t="str">
        <x:v>Q12-C2</x:v>
      </x:c>
      <x:c r="B69" s="73" t="str">
        <x:v>Q12</x:v>
      </x:c>
      <x:c r="C69" s="73" t="str">
        <x:v>Facebook Marketplace</x:v>
      </x:c>
      <x:c r="D69" s="73" t="str">
        <x:v>pendiente</x:v>
      </x:c>
      <x:c r="E69" s="75"/>
      <x:c r="F69" s="73"/>
      <x:c r="G69" s="77"/>
      <x:c r="H69" s="77"/>
      <x:c r="I69" s="77"/>
      <x:c r="J69" s="73"/>
      <x:c r="K69" s="73"/>
      <x:c r="L69" s="73"/>
      <x:c r="M69" s="73"/>
      <x:c r="N69" s="73"/>
      <x:c r="O69" s="73"/>
      <x:c r="P69" s="73"/>
    </x:row>
    <x:row r="70">
      <x:c r="A70" s="73" t="str">
        <x:v>Q12-C3</x:v>
      </x:c>
      <x:c r="B70" s="73" t="str">
        <x:v>Q12</x:v>
      </x:c>
      <x:c r="C70" s="73" t="str">
        <x:v>Directorio local</x:v>
      </x:c>
      <x:c r="D70" s="73" t="str">
        <x:v>pendiente</x:v>
      </x:c>
      <x:c r="E70" s="75"/>
      <x:c r="F70" s="73"/>
      <x:c r="G70" s="77"/>
      <x:c r="H70" s="77"/>
      <x:c r="I70" s="77"/>
      <x:c r="J70" s="73"/>
      <x:c r="K70" s="73"/>
      <x:c r="L70" s="73"/>
      <x:c r="M70" s="73"/>
      <x:c r="N70" s="73"/>
      <x:c r="O70" s="73"/>
      <x:c r="P70" s="73"/>
    </x:row>
    <x:row r="71">
      <x:c r="A71" s="73" t="str">
        <x:v>Q12-C4</x:v>
      </x:c>
      <x:c r="B71" s="73" t="str">
        <x:v>Q12</x:v>
      </x:c>
      <x:c r="C71" s="73" t="str">
        <x:v>Comercia HN</x:v>
      </x:c>
      <x:c r="D71" s="73" t="str">
        <x:v>pendiente</x:v>
      </x:c>
      <x:c r="E71" s="75"/>
      <x:c r="F71" s="73"/>
      <x:c r="G71" s="77"/>
      <x:c r="H71" s="77"/>
      <x:c r="I71" s="77"/>
      <x:c r="J71" s="73"/>
      <x:c r="K71" s="73"/>
      <x:c r="L71" s="73"/>
      <x:c r="M71" s="73"/>
      <x:c r="N71" s="73"/>
      <x:c r="O71" s="73"/>
      <x:c r="P71" s="73"/>
    </x:row>
    <x:row r="72">
      <x:c r="A72" s="73" t="str">
        <x:v>Q12-C5</x:v>
      </x:c>
      <x:c r="B72" s="73" t="str">
        <x:v>Q12</x:v>
      </x:c>
      <x:c r="C72" s="73" t="str">
        <x:v>WhatsApp/contacto directo</x:v>
      </x:c>
      <x:c r="D72" s="73" t="str">
        <x:v>pendiente</x:v>
      </x:c>
      <x:c r="E72" s="75"/>
      <x:c r="F72" s="73"/>
      <x:c r="G72" s="77"/>
      <x:c r="H72" s="77"/>
      <x:c r="I72" s="77"/>
      <x:c r="J72" s="73"/>
      <x:c r="K72" s="73"/>
      <x:c r="L72" s="73"/>
      <x:c r="M72" s="73"/>
      <x:c r="N72" s="73"/>
      <x:c r="O72" s="73"/>
      <x:c r="P72" s="73"/>
    </x:row>
    <x:row r="73">
      <x:c r="A73" s="73" t="str">
        <x:v>Q12-C6</x:v>
      </x:c>
      <x:c r="B73" s="73" t="str">
        <x:v>Q12</x:v>
      </x:c>
      <x:c r="C73" s="73" t="str">
        <x:v>La Pulperia</x:v>
      </x:c>
      <x:c r="D73" s="73" t="str">
        <x:v>pendiente</x:v>
      </x:c>
      <x:c r="E73" s="75"/>
      <x:c r="F73" s="73"/>
      <x:c r="G73" s="77"/>
      <x:c r="H73" s="77"/>
      <x:c r="I73" s="77"/>
      <x:c r="J73" s="73"/>
      <x:c r="K73" s="73"/>
      <x:c r="L73" s="73"/>
      <x:c r="M73" s="73"/>
      <x:c r="N73" s="73"/>
      <x:c r="O73" s="73"/>
      <x:c r="P73" s="73"/>
    </x:row>
    <x:row r="74">
      <x:c r="A74" s="73" t="str">
        <x:v>Q13-C1</x:v>
      </x:c>
      <x:c r="B74" s="73" t="str">
        <x:v>Q13</x:v>
      </x:c>
      <x:c r="C74" s="73" t="str">
        <x:v>Google</x:v>
      </x:c>
      <x:c r="D74" s="73" t="str">
        <x:v>pendiente</x:v>
      </x:c>
      <x:c r="E74" s="75"/>
      <x:c r="F74" s="73"/>
      <x:c r="G74" s="77"/>
      <x:c r="H74" s="77"/>
      <x:c r="I74" s="77"/>
      <x:c r="J74" s="73"/>
      <x:c r="K74" s="73"/>
      <x:c r="L74" s="73"/>
      <x:c r="M74" s="73"/>
      <x:c r="N74" s="73"/>
      <x:c r="O74" s="73"/>
      <x:c r="P74" s="73"/>
    </x:row>
    <x:row r="75">
      <x:c r="A75" s="73" t="str">
        <x:v>Q13-C2</x:v>
      </x:c>
      <x:c r="B75" s="73" t="str">
        <x:v>Q13</x:v>
      </x:c>
      <x:c r="C75" s="73" t="str">
        <x:v>Facebook Marketplace</x:v>
      </x:c>
      <x:c r="D75" s="73" t="str">
        <x:v>pendiente</x:v>
      </x:c>
      <x:c r="E75" s="75"/>
      <x:c r="F75" s="73"/>
      <x:c r="G75" s="77"/>
      <x:c r="H75" s="77"/>
      <x:c r="I75" s="77"/>
      <x:c r="J75" s="73"/>
      <x:c r="K75" s="73"/>
      <x:c r="L75" s="73"/>
      <x:c r="M75" s="73"/>
      <x:c r="N75" s="73"/>
      <x:c r="O75" s="73"/>
      <x:c r="P75" s="73"/>
    </x:row>
    <x:row r="76">
      <x:c r="A76" s="73" t="str">
        <x:v>Q13-C3</x:v>
      </x:c>
      <x:c r="B76" s="73" t="str">
        <x:v>Q13</x:v>
      </x:c>
      <x:c r="C76" s="73" t="str">
        <x:v>Directorio local</x:v>
      </x:c>
      <x:c r="D76" s="73" t="str">
        <x:v>pendiente</x:v>
      </x:c>
      <x:c r="E76" s="75"/>
      <x:c r="F76" s="73"/>
      <x:c r="G76" s="77"/>
      <x:c r="H76" s="77"/>
      <x:c r="I76" s="77"/>
      <x:c r="J76" s="73"/>
      <x:c r="K76" s="73"/>
      <x:c r="L76" s="73"/>
      <x:c r="M76" s="73"/>
      <x:c r="N76" s="73"/>
      <x:c r="O76" s="73"/>
      <x:c r="P76" s="73"/>
    </x:row>
    <x:row r="77">
      <x:c r="A77" s="73" t="str">
        <x:v>Q13-C4</x:v>
      </x:c>
      <x:c r="B77" s="73" t="str">
        <x:v>Q13</x:v>
      </x:c>
      <x:c r="C77" s="73" t="str">
        <x:v>Comercia HN</x:v>
      </x:c>
      <x:c r="D77" s="73" t="str">
        <x:v>pendiente</x:v>
      </x:c>
      <x:c r="E77" s="75"/>
      <x:c r="F77" s="73"/>
      <x:c r="G77" s="77"/>
      <x:c r="H77" s="77"/>
      <x:c r="I77" s="77"/>
      <x:c r="J77" s="73"/>
      <x:c r="K77" s="73"/>
      <x:c r="L77" s="73"/>
      <x:c r="M77" s="73"/>
      <x:c r="N77" s="73"/>
      <x:c r="O77" s="73"/>
      <x:c r="P77" s="73"/>
    </x:row>
    <x:row r="78">
      <x:c r="A78" s="73" t="str">
        <x:v>Q13-C5</x:v>
      </x:c>
      <x:c r="B78" s="73" t="str">
        <x:v>Q13</x:v>
      </x:c>
      <x:c r="C78" s="73" t="str">
        <x:v>WhatsApp/contacto directo</x:v>
      </x:c>
      <x:c r="D78" s="73" t="str">
        <x:v>pendiente</x:v>
      </x:c>
      <x:c r="E78" s="75"/>
      <x:c r="F78" s="73"/>
      <x:c r="G78" s="77"/>
      <x:c r="H78" s="77"/>
      <x:c r="I78" s="77"/>
      <x:c r="J78" s="73"/>
      <x:c r="K78" s="73"/>
      <x:c r="L78" s="73"/>
      <x:c r="M78" s="73"/>
      <x:c r="N78" s="73"/>
      <x:c r="O78" s="73"/>
      <x:c r="P78" s="73"/>
    </x:row>
    <x:row r="79">
      <x:c r="A79" s="73" t="str">
        <x:v>Q13-C6</x:v>
      </x:c>
      <x:c r="B79" s="73" t="str">
        <x:v>Q13</x:v>
      </x:c>
      <x:c r="C79" s="73" t="str">
        <x:v>La Pulperia</x:v>
      </x:c>
      <x:c r="D79" s="73" t="str">
        <x:v>pendiente</x:v>
      </x:c>
      <x:c r="E79" s="75"/>
      <x:c r="F79" s="73"/>
      <x:c r="G79" s="77"/>
      <x:c r="H79" s="77"/>
      <x:c r="I79" s="77"/>
      <x:c r="J79" s="73"/>
      <x:c r="K79" s="73"/>
      <x:c r="L79" s="73"/>
      <x:c r="M79" s="73"/>
      <x:c r="N79" s="73"/>
      <x:c r="O79" s="73"/>
      <x:c r="P79" s="73"/>
    </x:row>
    <x:row r="80">
      <x:c r="A80" s="73" t="str">
        <x:v>Q14-C1</x:v>
      </x:c>
      <x:c r="B80" s="73" t="str">
        <x:v>Q14</x:v>
      </x:c>
      <x:c r="C80" s="73" t="str">
        <x:v>Google</x:v>
      </x:c>
      <x:c r="D80" s="73" t="str">
        <x:v>pendiente</x:v>
      </x:c>
      <x:c r="E80" s="75"/>
      <x:c r="F80" s="73"/>
      <x:c r="G80" s="77"/>
      <x:c r="H80" s="77"/>
      <x:c r="I80" s="77"/>
      <x:c r="J80" s="73"/>
      <x:c r="K80" s="73"/>
      <x:c r="L80" s="73"/>
      <x:c r="M80" s="73"/>
      <x:c r="N80" s="73"/>
      <x:c r="O80" s="73"/>
      <x:c r="P80" s="73"/>
    </x:row>
    <x:row r="81">
      <x:c r="A81" s="73" t="str">
        <x:v>Q14-C2</x:v>
      </x:c>
      <x:c r="B81" s="73" t="str">
        <x:v>Q14</x:v>
      </x:c>
      <x:c r="C81" s="73" t="str">
        <x:v>Facebook Marketplace</x:v>
      </x:c>
      <x:c r="D81" s="73" t="str">
        <x:v>pendiente</x:v>
      </x:c>
      <x:c r="E81" s="75"/>
      <x:c r="F81" s="73"/>
      <x:c r="G81" s="77"/>
      <x:c r="H81" s="77"/>
      <x:c r="I81" s="77"/>
      <x:c r="J81" s="73"/>
      <x:c r="K81" s="73"/>
      <x:c r="L81" s="73"/>
      <x:c r="M81" s="73"/>
      <x:c r="N81" s="73"/>
      <x:c r="O81" s="73"/>
      <x:c r="P81" s="73"/>
    </x:row>
    <x:row r="82">
      <x:c r="A82" s="73" t="str">
        <x:v>Q14-C3</x:v>
      </x:c>
      <x:c r="B82" s="73" t="str">
        <x:v>Q14</x:v>
      </x:c>
      <x:c r="C82" s="73" t="str">
        <x:v>Directorio local</x:v>
      </x:c>
      <x:c r="D82" s="73" t="str">
        <x:v>pendiente</x:v>
      </x:c>
      <x:c r="E82" s="75"/>
      <x:c r="F82" s="73"/>
      <x:c r="G82" s="77"/>
      <x:c r="H82" s="77"/>
      <x:c r="I82" s="77"/>
      <x:c r="J82" s="73"/>
      <x:c r="K82" s="73"/>
      <x:c r="L82" s="73"/>
      <x:c r="M82" s="73"/>
      <x:c r="N82" s="73"/>
      <x:c r="O82" s="73"/>
      <x:c r="P82" s="73"/>
    </x:row>
    <x:row r="83">
      <x:c r="A83" s="73" t="str">
        <x:v>Q14-C4</x:v>
      </x:c>
      <x:c r="B83" s="73" t="str">
        <x:v>Q14</x:v>
      </x:c>
      <x:c r="C83" s="73" t="str">
        <x:v>Comercia HN</x:v>
      </x:c>
      <x:c r="D83" s="73" t="str">
        <x:v>pendiente</x:v>
      </x:c>
      <x:c r="E83" s="75"/>
      <x:c r="F83" s="73"/>
      <x:c r="G83" s="77"/>
      <x:c r="H83" s="77"/>
      <x:c r="I83" s="77"/>
      <x:c r="J83" s="73"/>
      <x:c r="K83" s="73"/>
      <x:c r="L83" s="73"/>
      <x:c r="M83" s="73"/>
      <x:c r="N83" s="73"/>
      <x:c r="O83" s="73"/>
      <x:c r="P83" s="73"/>
    </x:row>
    <x:row r="84">
      <x:c r="A84" s="73" t="str">
        <x:v>Q14-C5</x:v>
      </x:c>
      <x:c r="B84" s="73" t="str">
        <x:v>Q14</x:v>
      </x:c>
      <x:c r="C84" s="73" t="str">
        <x:v>WhatsApp/contacto directo</x:v>
      </x:c>
      <x:c r="D84" s="73" t="str">
        <x:v>pendiente</x:v>
      </x:c>
      <x:c r="E84" s="75"/>
      <x:c r="F84" s="73"/>
      <x:c r="G84" s="77"/>
      <x:c r="H84" s="77"/>
      <x:c r="I84" s="77"/>
      <x:c r="J84" s="73"/>
      <x:c r="K84" s="73"/>
      <x:c r="L84" s="73"/>
      <x:c r="M84" s="73"/>
      <x:c r="N84" s="73"/>
      <x:c r="O84" s="73"/>
      <x:c r="P84" s="73"/>
    </x:row>
    <x:row r="85">
      <x:c r="A85" s="73" t="str">
        <x:v>Q14-C6</x:v>
      </x:c>
      <x:c r="B85" s="73" t="str">
        <x:v>Q14</x:v>
      </x:c>
      <x:c r="C85" s="73" t="str">
        <x:v>La Pulperia</x:v>
      </x:c>
      <x:c r="D85" s="73" t="str">
        <x:v>pendiente</x:v>
      </x:c>
      <x:c r="E85" s="75"/>
      <x:c r="F85" s="73"/>
      <x:c r="G85" s="77"/>
      <x:c r="H85" s="77"/>
      <x:c r="I85" s="77"/>
      <x:c r="J85" s="73"/>
      <x:c r="K85" s="73"/>
      <x:c r="L85" s="73"/>
      <x:c r="M85" s="73"/>
      <x:c r="N85" s="73"/>
      <x:c r="O85" s="73"/>
      <x:c r="P85" s="73"/>
    </x:row>
    <x:row r="86">
      <x:c r="A86" s="73" t="str">
        <x:v>Q15-C1</x:v>
      </x:c>
      <x:c r="B86" s="73" t="str">
        <x:v>Q15</x:v>
      </x:c>
      <x:c r="C86" s="73" t="str">
        <x:v>Google</x:v>
      </x:c>
      <x:c r="D86" s="73" t="str">
        <x:v>pendiente</x:v>
      </x:c>
      <x:c r="E86" s="75"/>
      <x:c r="F86" s="73"/>
      <x:c r="G86" s="77"/>
      <x:c r="H86" s="77"/>
      <x:c r="I86" s="77"/>
      <x:c r="J86" s="73"/>
      <x:c r="K86" s="73"/>
      <x:c r="L86" s="73"/>
      <x:c r="M86" s="73"/>
      <x:c r="N86" s="73"/>
      <x:c r="O86" s="73"/>
      <x:c r="P86" s="73"/>
    </x:row>
    <x:row r="87">
      <x:c r="A87" s="73" t="str">
        <x:v>Q15-C2</x:v>
      </x:c>
      <x:c r="B87" s="73" t="str">
        <x:v>Q15</x:v>
      </x:c>
      <x:c r="C87" s="73" t="str">
        <x:v>Facebook Marketplace</x:v>
      </x:c>
      <x:c r="D87" s="73" t="str">
        <x:v>pendiente</x:v>
      </x:c>
      <x:c r="E87" s="75"/>
      <x:c r="F87" s="73"/>
      <x:c r="G87" s="77"/>
      <x:c r="H87" s="77"/>
      <x:c r="I87" s="77"/>
      <x:c r="J87" s="73"/>
      <x:c r="K87" s="73"/>
      <x:c r="L87" s="73"/>
      <x:c r="M87" s="73"/>
      <x:c r="N87" s="73"/>
      <x:c r="O87" s="73"/>
      <x:c r="P87" s="73"/>
    </x:row>
    <x:row r="88">
      <x:c r="A88" s="73" t="str">
        <x:v>Q15-C3</x:v>
      </x:c>
      <x:c r="B88" s="73" t="str">
        <x:v>Q15</x:v>
      </x:c>
      <x:c r="C88" s="73" t="str">
        <x:v>Directorio local</x:v>
      </x:c>
      <x:c r="D88" s="73" t="str">
        <x:v>pendiente</x:v>
      </x:c>
      <x:c r="E88" s="75"/>
      <x:c r="F88" s="73"/>
      <x:c r="G88" s="77"/>
      <x:c r="H88" s="77"/>
      <x:c r="I88" s="77"/>
      <x:c r="J88" s="73"/>
      <x:c r="K88" s="73"/>
      <x:c r="L88" s="73"/>
      <x:c r="M88" s="73"/>
      <x:c r="N88" s="73"/>
      <x:c r="O88" s="73"/>
      <x:c r="P88" s="73"/>
    </x:row>
    <x:row r="89">
      <x:c r="A89" s="73" t="str">
        <x:v>Q15-C4</x:v>
      </x:c>
      <x:c r="B89" s="73" t="str">
        <x:v>Q15</x:v>
      </x:c>
      <x:c r="C89" s="73" t="str">
        <x:v>Comercia HN</x:v>
      </x:c>
      <x:c r="D89" s="73" t="str">
        <x:v>pendiente</x:v>
      </x:c>
      <x:c r="E89" s="75"/>
      <x:c r="F89" s="73"/>
      <x:c r="G89" s="77"/>
      <x:c r="H89" s="77"/>
      <x:c r="I89" s="77"/>
      <x:c r="J89" s="73"/>
      <x:c r="K89" s="73"/>
      <x:c r="L89" s="73"/>
      <x:c r="M89" s="73"/>
      <x:c r="N89" s="73"/>
      <x:c r="O89" s="73"/>
      <x:c r="P89" s="73"/>
    </x:row>
    <x:row r="90">
      <x:c r="A90" s="73" t="str">
        <x:v>Q15-C5</x:v>
      </x:c>
      <x:c r="B90" s="73" t="str">
        <x:v>Q15</x:v>
      </x:c>
      <x:c r="C90" s="73" t="str">
        <x:v>WhatsApp/contacto directo</x:v>
      </x:c>
      <x:c r="D90" s="73" t="str">
        <x:v>pendiente</x:v>
      </x:c>
      <x:c r="E90" s="75"/>
      <x:c r="F90" s="73"/>
      <x:c r="G90" s="77"/>
      <x:c r="H90" s="77"/>
      <x:c r="I90" s="77"/>
      <x:c r="J90" s="73"/>
      <x:c r="K90" s="73"/>
      <x:c r="L90" s="73"/>
      <x:c r="M90" s="73"/>
      <x:c r="N90" s="73"/>
      <x:c r="O90" s="73"/>
      <x:c r="P90" s="73"/>
    </x:row>
    <x:row r="91">
      <x:c r="A91" s="73" t="str">
        <x:v>Q15-C6</x:v>
      </x:c>
      <x:c r="B91" s="73" t="str">
        <x:v>Q15</x:v>
      </x:c>
      <x:c r="C91" s="73" t="str">
        <x:v>La Pulperia</x:v>
      </x:c>
      <x:c r="D91" s="73" t="str">
        <x:v>pendiente</x:v>
      </x:c>
      <x:c r="E91" s="75"/>
      <x:c r="F91" s="73"/>
      <x:c r="G91" s="77"/>
      <x:c r="H91" s="77"/>
      <x:c r="I91" s="77"/>
      <x:c r="J91" s="73"/>
      <x:c r="K91" s="73"/>
      <x:c r="L91" s="73"/>
      <x:c r="M91" s="73"/>
      <x:c r="N91" s="73"/>
      <x:c r="O91" s="73"/>
      <x:c r="P91" s="73"/>
    </x:row>
    <x:row r="92">
      <x:c r="A92" s="73" t="str">
        <x:v>Q16-C1</x:v>
      </x:c>
      <x:c r="B92" s="73" t="str">
        <x:v>Q16</x:v>
      </x:c>
      <x:c r="C92" s="73" t="str">
        <x:v>Google</x:v>
      </x:c>
      <x:c r="D92" s="73" t="str">
        <x:v>pendiente</x:v>
      </x:c>
      <x:c r="E92" s="75"/>
      <x:c r="F92" s="73"/>
      <x:c r="G92" s="77"/>
      <x:c r="H92" s="77"/>
      <x:c r="I92" s="77"/>
      <x:c r="J92" s="73"/>
      <x:c r="K92" s="73"/>
      <x:c r="L92" s="73"/>
      <x:c r="M92" s="73"/>
      <x:c r="N92" s="73"/>
      <x:c r="O92" s="73"/>
      <x:c r="P92" s="73"/>
    </x:row>
    <x:row r="93">
      <x:c r="A93" s="73" t="str">
        <x:v>Q16-C2</x:v>
      </x:c>
      <x:c r="B93" s="73" t="str">
        <x:v>Q16</x:v>
      </x:c>
      <x:c r="C93" s="73" t="str">
        <x:v>Facebook Marketplace</x:v>
      </x:c>
      <x:c r="D93" s="73" t="str">
        <x:v>pendiente</x:v>
      </x:c>
      <x:c r="E93" s="75"/>
      <x:c r="F93" s="73"/>
      <x:c r="G93" s="77"/>
      <x:c r="H93" s="77"/>
      <x:c r="I93" s="77"/>
      <x:c r="J93" s="73"/>
      <x:c r="K93" s="73"/>
      <x:c r="L93" s="73"/>
      <x:c r="M93" s="73"/>
      <x:c r="N93" s="73"/>
      <x:c r="O93" s="73"/>
      <x:c r="P93" s="73"/>
    </x:row>
    <x:row r="94">
      <x:c r="A94" s="73" t="str">
        <x:v>Q16-C3</x:v>
      </x:c>
      <x:c r="B94" s="73" t="str">
        <x:v>Q16</x:v>
      </x:c>
      <x:c r="C94" s="73" t="str">
        <x:v>Directorio local</x:v>
      </x:c>
      <x:c r="D94" s="73" t="str">
        <x:v>pendiente</x:v>
      </x:c>
      <x:c r="E94" s="75"/>
      <x:c r="F94" s="73"/>
      <x:c r="G94" s="77"/>
      <x:c r="H94" s="77"/>
      <x:c r="I94" s="77"/>
      <x:c r="J94" s="73"/>
      <x:c r="K94" s="73"/>
      <x:c r="L94" s="73"/>
      <x:c r="M94" s="73"/>
      <x:c r="N94" s="73"/>
      <x:c r="O94" s="73"/>
      <x:c r="P94" s="73"/>
    </x:row>
    <x:row r="95">
      <x:c r="A95" s="73" t="str">
        <x:v>Q16-C4</x:v>
      </x:c>
      <x:c r="B95" s="73" t="str">
        <x:v>Q16</x:v>
      </x:c>
      <x:c r="C95" s="73" t="str">
        <x:v>Comercia HN</x:v>
      </x:c>
      <x:c r="D95" s="73" t="str">
        <x:v>pendiente</x:v>
      </x:c>
      <x:c r="E95" s="75"/>
      <x:c r="F95" s="73"/>
      <x:c r="G95" s="77"/>
      <x:c r="H95" s="77"/>
      <x:c r="I95" s="77"/>
      <x:c r="J95" s="73"/>
      <x:c r="K95" s="73"/>
      <x:c r="L95" s="73"/>
      <x:c r="M95" s="73"/>
      <x:c r="N95" s="73"/>
      <x:c r="O95" s="73"/>
      <x:c r="P95" s="73"/>
    </x:row>
    <x:row r="96">
      <x:c r="A96" s="73" t="str">
        <x:v>Q16-C5</x:v>
      </x:c>
      <x:c r="B96" s="73" t="str">
        <x:v>Q16</x:v>
      </x:c>
      <x:c r="C96" s="73" t="str">
        <x:v>WhatsApp/contacto directo</x:v>
      </x:c>
      <x:c r="D96" s="73" t="str">
        <x:v>pendiente</x:v>
      </x:c>
      <x:c r="E96" s="75"/>
      <x:c r="F96" s="73"/>
      <x:c r="G96" s="77"/>
      <x:c r="H96" s="77"/>
      <x:c r="I96" s="77"/>
      <x:c r="J96" s="73"/>
      <x:c r="K96" s="73"/>
      <x:c r="L96" s="73"/>
      <x:c r="M96" s="73"/>
      <x:c r="N96" s="73"/>
      <x:c r="O96" s="73"/>
      <x:c r="P96" s="73"/>
    </x:row>
    <x:row r="97">
      <x:c r="A97" s="73" t="str">
        <x:v>Q16-C6</x:v>
      </x:c>
      <x:c r="B97" s="73" t="str">
        <x:v>Q16</x:v>
      </x:c>
      <x:c r="C97" s="73" t="str">
        <x:v>La Pulperia</x:v>
      </x:c>
      <x:c r="D97" s="73" t="str">
        <x:v>pendiente</x:v>
      </x:c>
      <x:c r="E97" s="75"/>
      <x:c r="F97" s="73"/>
      <x:c r="G97" s="77"/>
      <x:c r="H97" s="77"/>
      <x:c r="I97" s="77"/>
      <x:c r="J97" s="73"/>
      <x:c r="K97" s="73"/>
      <x:c r="L97" s="73"/>
      <x:c r="M97" s="73"/>
      <x:c r="N97" s="73"/>
      <x:c r="O97" s="73"/>
      <x:c r="P97" s="73"/>
    </x:row>
    <x:row r="98">
      <x:c r="A98" s="73" t="str">
        <x:v>Q17-C1</x:v>
      </x:c>
      <x:c r="B98" s="73" t="str">
        <x:v>Q17</x:v>
      </x:c>
      <x:c r="C98" s="73" t="str">
        <x:v>Google</x:v>
      </x:c>
      <x:c r="D98" s="73" t="str">
        <x:v>pendiente</x:v>
      </x:c>
      <x:c r="E98" s="75"/>
      <x:c r="F98" s="73"/>
      <x:c r="G98" s="77"/>
      <x:c r="H98" s="77"/>
      <x:c r="I98" s="77"/>
      <x:c r="J98" s="73"/>
      <x:c r="K98" s="73"/>
      <x:c r="L98" s="73"/>
      <x:c r="M98" s="73"/>
      <x:c r="N98" s="73"/>
      <x:c r="O98" s="73"/>
      <x:c r="P98" s="73"/>
    </x:row>
    <x:row r="99">
      <x:c r="A99" s="73" t="str">
        <x:v>Q17-C2</x:v>
      </x:c>
      <x:c r="B99" s="73" t="str">
        <x:v>Q17</x:v>
      </x:c>
      <x:c r="C99" s="73" t="str">
        <x:v>Facebook Marketplace</x:v>
      </x:c>
      <x:c r="D99" s="73" t="str">
        <x:v>pendiente</x:v>
      </x:c>
      <x:c r="E99" s="75"/>
      <x:c r="F99" s="73"/>
      <x:c r="G99" s="77"/>
      <x:c r="H99" s="77"/>
      <x:c r="I99" s="77"/>
      <x:c r="J99" s="73"/>
      <x:c r="K99" s="73"/>
      <x:c r="L99" s="73"/>
      <x:c r="M99" s="73"/>
      <x:c r="N99" s="73"/>
      <x:c r="O99" s="73"/>
      <x:c r="P99" s="73"/>
    </x:row>
    <x:row r="100">
      <x:c r="A100" s="73" t="str">
        <x:v>Q17-C3</x:v>
      </x:c>
      <x:c r="B100" s="73" t="str">
        <x:v>Q17</x:v>
      </x:c>
      <x:c r="C100" s="73" t="str">
        <x:v>Directorio local</x:v>
      </x:c>
      <x:c r="D100" s="73" t="str">
        <x:v>pendiente</x:v>
      </x:c>
      <x:c r="E100" s="75"/>
      <x:c r="F100" s="73"/>
      <x:c r="G100" s="77"/>
      <x:c r="H100" s="77"/>
      <x:c r="I100" s="77"/>
      <x:c r="J100" s="73"/>
      <x:c r="K100" s="73"/>
      <x:c r="L100" s="73"/>
      <x:c r="M100" s="73"/>
      <x:c r="N100" s="73"/>
      <x:c r="O100" s="73"/>
      <x:c r="P100" s="73"/>
    </x:row>
    <x:row r="101">
      <x:c r="A101" s="73" t="str">
        <x:v>Q17-C4</x:v>
      </x:c>
      <x:c r="B101" s="73" t="str">
        <x:v>Q17</x:v>
      </x:c>
      <x:c r="C101" s="73" t="str">
        <x:v>Comercia HN</x:v>
      </x:c>
      <x:c r="D101" s="73" t="str">
        <x:v>pendiente</x:v>
      </x:c>
      <x:c r="E101" s="75"/>
      <x:c r="F101" s="73"/>
      <x:c r="G101" s="77"/>
      <x:c r="H101" s="77"/>
      <x:c r="I101" s="77"/>
      <x:c r="J101" s="73"/>
      <x:c r="K101" s="73"/>
      <x:c r="L101" s="73"/>
      <x:c r="M101" s="73"/>
      <x:c r="N101" s="73"/>
      <x:c r="O101" s="73"/>
      <x:c r="P101" s="73"/>
    </x:row>
    <x:row r="102">
      <x:c r="A102" s="73" t="str">
        <x:v>Q17-C5</x:v>
      </x:c>
      <x:c r="B102" s="73" t="str">
        <x:v>Q17</x:v>
      </x:c>
      <x:c r="C102" s="73" t="str">
        <x:v>WhatsApp/contacto directo</x:v>
      </x:c>
      <x:c r="D102" s="73" t="str">
        <x:v>pendiente</x:v>
      </x:c>
      <x:c r="E102" s="75"/>
      <x:c r="F102" s="73"/>
      <x:c r="G102" s="77"/>
      <x:c r="H102" s="77"/>
      <x:c r="I102" s="77"/>
      <x:c r="J102" s="73"/>
      <x:c r="K102" s="73"/>
      <x:c r="L102" s="73"/>
      <x:c r="M102" s="73"/>
      <x:c r="N102" s="73"/>
      <x:c r="O102" s="73"/>
      <x:c r="P102" s="73"/>
    </x:row>
    <x:row r="103">
      <x:c r="A103" s="73" t="str">
        <x:v>Q17-C6</x:v>
      </x:c>
      <x:c r="B103" s="73" t="str">
        <x:v>Q17</x:v>
      </x:c>
      <x:c r="C103" s="73" t="str">
        <x:v>La Pulperia</x:v>
      </x:c>
      <x:c r="D103" s="73" t="str">
        <x:v>pendiente</x:v>
      </x:c>
      <x:c r="E103" s="75"/>
      <x:c r="F103" s="73"/>
      <x:c r="G103" s="77"/>
      <x:c r="H103" s="77"/>
      <x:c r="I103" s="77"/>
      <x:c r="J103" s="73"/>
      <x:c r="K103" s="73"/>
      <x:c r="L103" s="73"/>
      <x:c r="M103" s="73"/>
      <x:c r="N103" s="73"/>
      <x:c r="O103" s="73"/>
      <x:c r="P103" s="73"/>
    </x:row>
    <x:row r="104">
      <x:c r="A104" s="73" t="str">
        <x:v>Q18-C1</x:v>
      </x:c>
      <x:c r="B104" s="73" t="str">
        <x:v>Q18</x:v>
      </x:c>
      <x:c r="C104" s="73" t="str">
        <x:v>Google</x:v>
      </x:c>
      <x:c r="D104" s="73" t="str">
        <x:v>pendiente</x:v>
      </x:c>
      <x:c r="E104" s="75"/>
      <x:c r="F104" s="73"/>
      <x:c r="G104" s="77"/>
      <x:c r="H104" s="77"/>
      <x:c r="I104" s="77"/>
      <x:c r="J104" s="73"/>
      <x:c r="K104" s="73"/>
      <x:c r="L104" s="73"/>
      <x:c r="M104" s="73"/>
      <x:c r="N104" s="73"/>
      <x:c r="O104" s="73"/>
      <x:c r="P104" s="73"/>
    </x:row>
    <x:row r="105">
      <x:c r="A105" s="73" t="str">
        <x:v>Q18-C2</x:v>
      </x:c>
      <x:c r="B105" s="73" t="str">
        <x:v>Q18</x:v>
      </x:c>
      <x:c r="C105" s="73" t="str">
        <x:v>Facebook Marketplace</x:v>
      </x:c>
      <x:c r="D105" s="73" t="str">
        <x:v>pendiente</x:v>
      </x:c>
      <x:c r="E105" s="75"/>
      <x:c r="F105" s="73"/>
      <x:c r="G105" s="77"/>
      <x:c r="H105" s="77"/>
      <x:c r="I105" s="77"/>
      <x:c r="J105" s="73"/>
      <x:c r="K105" s="73"/>
      <x:c r="L105" s="73"/>
      <x:c r="M105" s="73"/>
      <x:c r="N105" s="73"/>
      <x:c r="O105" s="73"/>
      <x:c r="P105" s="73"/>
    </x:row>
    <x:row r="106">
      <x:c r="A106" s="73" t="str">
        <x:v>Q18-C3</x:v>
      </x:c>
      <x:c r="B106" s="73" t="str">
        <x:v>Q18</x:v>
      </x:c>
      <x:c r="C106" s="73" t="str">
        <x:v>Directorio local</x:v>
      </x:c>
      <x:c r="D106" s="73" t="str">
        <x:v>pendiente</x:v>
      </x:c>
      <x:c r="E106" s="75"/>
      <x:c r="F106" s="73"/>
      <x:c r="G106" s="77"/>
      <x:c r="H106" s="77"/>
      <x:c r="I106" s="77"/>
      <x:c r="J106" s="73"/>
      <x:c r="K106" s="73"/>
      <x:c r="L106" s="73"/>
      <x:c r="M106" s="73"/>
      <x:c r="N106" s="73"/>
      <x:c r="O106" s="73"/>
      <x:c r="P106" s="73"/>
    </x:row>
    <x:row r="107">
      <x:c r="A107" s="73" t="str">
        <x:v>Q18-C4</x:v>
      </x:c>
      <x:c r="B107" s="73" t="str">
        <x:v>Q18</x:v>
      </x:c>
      <x:c r="C107" s="73" t="str">
        <x:v>Comercia HN</x:v>
      </x:c>
      <x:c r="D107" s="73" t="str">
        <x:v>pendiente</x:v>
      </x:c>
      <x:c r="E107" s="75"/>
      <x:c r="F107" s="73"/>
      <x:c r="G107" s="77"/>
      <x:c r="H107" s="77"/>
      <x:c r="I107" s="77"/>
      <x:c r="J107" s="73"/>
      <x:c r="K107" s="73"/>
      <x:c r="L107" s="73"/>
      <x:c r="M107" s="73"/>
      <x:c r="N107" s="73"/>
      <x:c r="O107" s="73"/>
      <x:c r="P107" s="73"/>
    </x:row>
    <x:row r="108">
      <x:c r="A108" s="73" t="str">
        <x:v>Q18-C5</x:v>
      </x:c>
      <x:c r="B108" s="73" t="str">
        <x:v>Q18</x:v>
      </x:c>
      <x:c r="C108" s="73" t="str">
        <x:v>WhatsApp/contacto directo</x:v>
      </x:c>
      <x:c r="D108" s="73" t="str">
        <x:v>pendiente</x:v>
      </x:c>
      <x:c r="E108" s="75"/>
      <x:c r="F108" s="73"/>
      <x:c r="G108" s="77"/>
      <x:c r="H108" s="77"/>
      <x:c r="I108" s="77"/>
      <x:c r="J108" s="73"/>
      <x:c r="K108" s="73"/>
      <x:c r="L108" s="73"/>
      <x:c r="M108" s="73"/>
      <x:c r="N108" s="73"/>
      <x:c r="O108" s="73"/>
      <x:c r="P108" s="73"/>
    </x:row>
    <x:row r="109">
      <x:c r="A109" s="73" t="str">
        <x:v>Q18-C6</x:v>
      </x:c>
      <x:c r="B109" s="73" t="str">
        <x:v>Q18</x:v>
      </x:c>
      <x:c r="C109" s="73" t="str">
        <x:v>La Pulperia</x:v>
      </x:c>
      <x:c r="D109" s="73" t="str">
        <x:v>pendiente</x:v>
      </x:c>
      <x:c r="E109" s="75"/>
      <x:c r="F109" s="73"/>
      <x:c r="G109" s="77"/>
      <x:c r="H109" s="77"/>
      <x:c r="I109" s="77"/>
      <x:c r="J109" s="73"/>
      <x:c r="K109" s="73"/>
      <x:c r="L109" s="73"/>
      <x:c r="M109" s="73"/>
      <x:c r="N109" s="73"/>
      <x:c r="O109" s="73"/>
      <x:c r="P109" s="73"/>
    </x:row>
    <x:row r="110">
      <x:c r="A110" s="73" t="str">
        <x:v>Q19-C1</x:v>
      </x:c>
      <x:c r="B110" s="73" t="str">
        <x:v>Q19</x:v>
      </x:c>
      <x:c r="C110" s="73" t="str">
        <x:v>Google</x:v>
      </x:c>
      <x:c r="D110" s="73" t="str">
        <x:v>pendiente</x:v>
      </x:c>
      <x:c r="E110" s="75"/>
      <x:c r="F110" s="73"/>
      <x:c r="G110" s="77"/>
      <x:c r="H110" s="77"/>
      <x:c r="I110" s="77"/>
      <x:c r="J110" s="73"/>
      <x:c r="K110" s="73"/>
      <x:c r="L110" s="73"/>
      <x:c r="M110" s="73"/>
      <x:c r="N110" s="73"/>
      <x:c r="O110" s="73"/>
      <x:c r="P110" s="73"/>
    </x:row>
    <x:row r="111">
      <x:c r="A111" s="73" t="str">
        <x:v>Q19-C2</x:v>
      </x:c>
      <x:c r="B111" s="73" t="str">
        <x:v>Q19</x:v>
      </x:c>
      <x:c r="C111" s="73" t="str">
        <x:v>Facebook Marketplace</x:v>
      </x:c>
      <x:c r="D111" s="73" t="str">
        <x:v>pendiente</x:v>
      </x:c>
      <x:c r="E111" s="75"/>
      <x:c r="F111" s="73"/>
      <x:c r="G111" s="77"/>
      <x:c r="H111" s="77"/>
      <x:c r="I111" s="77"/>
      <x:c r="J111" s="73"/>
      <x:c r="K111" s="73"/>
      <x:c r="L111" s="73"/>
      <x:c r="M111" s="73"/>
      <x:c r="N111" s="73"/>
      <x:c r="O111" s="73"/>
      <x:c r="P111" s="73"/>
    </x:row>
    <x:row r="112">
      <x:c r="A112" s="73" t="str">
        <x:v>Q19-C3</x:v>
      </x:c>
      <x:c r="B112" s="73" t="str">
        <x:v>Q19</x:v>
      </x:c>
      <x:c r="C112" s="73" t="str">
        <x:v>Directorio local</x:v>
      </x:c>
      <x:c r="D112" s="73" t="str">
        <x:v>pendiente</x:v>
      </x:c>
      <x:c r="E112" s="75"/>
      <x:c r="F112" s="73"/>
      <x:c r="G112" s="77"/>
      <x:c r="H112" s="77"/>
      <x:c r="I112" s="77"/>
      <x:c r="J112" s="73"/>
      <x:c r="K112" s="73"/>
      <x:c r="L112" s="73"/>
      <x:c r="M112" s="73"/>
      <x:c r="N112" s="73"/>
      <x:c r="O112" s="73"/>
      <x:c r="P112" s="73"/>
    </x:row>
    <x:row r="113">
      <x:c r="A113" s="73" t="str">
        <x:v>Q19-C4</x:v>
      </x:c>
      <x:c r="B113" s="73" t="str">
        <x:v>Q19</x:v>
      </x:c>
      <x:c r="C113" s="73" t="str">
        <x:v>Comercia HN</x:v>
      </x:c>
      <x:c r="D113" s="73" t="str">
        <x:v>pendiente</x:v>
      </x:c>
      <x:c r="E113" s="75"/>
      <x:c r="F113" s="73"/>
      <x:c r="G113" s="77"/>
      <x:c r="H113" s="77"/>
      <x:c r="I113" s="77"/>
      <x:c r="J113" s="73"/>
      <x:c r="K113" s="73"/>
      <x:c r="L113" s="73"/>
      <x:c r="M113" s="73"/>
      <x:c r="N113" s="73"/>
      <x:c r="O113" s="73"/>
      <x:c r="P113" s="73"/>
    </x:row>
    <x:row r="114">
      <x:c r="A114" s="73" t="str">
        <x:v>Q19-C5</x:v>
      </x:c>
      <x:c r="B114" s="73" t="str">
        <x:v>Q19</x:v>
      </x:c>
      <x:c r="C114" s="73" t="str">
        <x:v>WhatsApp/contacto directo</x:v>
      </x:c>
      <x:c r="D114" s="73" t="str">
        <x:v>pendiente</x:v>
      </x:c>
      <x:c r="E114" s="75"/>
      <x:c r="F114" s="73"/>
      <x:c r="G114" s="77"/>
      <x:c r="H114" s="77"/>
      <x:c r="I114" s="77"/>
      <x:c r="J114" s="73"/>
      <x:c r="K114" s="73"/>
      <x:c r="L114" s="73"/>
      <x:c r="M114" s="73"/>
      <x:c r="N114" s="73"/>
      <x:c r="O114" s="73"/>
      <x:c r="P114" s="73"/>
    </x:row>
    <x:row r="115">
      <x:c r="A115" s="73" t="str">
        <x:v>Q19-C6</x:v>
      </x:c>
      <x:c r="B115" s="73" t="str">
        <x:v>Q19</x:v>
      </x:c>
      <x:c r="C115" s="73" t="str">
        <x:v>La Pulperia</x:v>
      </x:c>
      <x:c r="D115" s="73" t="str">
        <x:v>pendiente</x:v>
      </x:c>
      <x:c r="E115" s="75"/>
      <x:c r="F115" s="73"/>
      <x:c r="G115" s="77"/>
      <x:c r="H115" s="77"/>
      <x:c r="I115" s="77"/>
      <x:c r="J115" s="73"/>
      <x:c r="K115" s="73"/>
      <x:c r="L115" s="73"/>
      <x:c r="M115" s="73"/>
      <x:c r="N115" s="73"/>
      <x:c r="O115" s="73"/>
      <x:c r="P115" s="73"/>
    </x:row>
    <x:row r="116">
      <x:c r="A116" s="73" t="str">
        <x:v>Q20-C1</x:v>
      </x:c>
      <x:c r="B116" s="73" t="str">
        <x:v>Q20</x:v>
      </x:c>
      <x:c r="C116" s="73" t="str">
        <x:v>Google</x:v>
      </x:c>
      <x:c r="D116" s="73" t="str">
        <x:v>pendiente</x:v>
      </x:c>
      <x:c r="E116" s="75"/>
      <x:c r="F116" s="73"/>
      <x:c r="G116" s="77"/>
      <x:c r="H116" s="77"/>
      <x:c r="I116" s="77"/>
      <x:c r="J116" s="73"/>
      <x:c r="K116" s="73"/>
      <x:c r="L116" s="73"/>
      <x:c r="M116" s="73"/>
      <x:c r="N116" s="73"/>
      <x:c r="O116" s="73"/>
      <x:c r="P116" s="73"/>
    </x:row>
    <x:row r="117">
      <x:c r="A117" s="73" t="str">
        <x:v>Q20-C2</x:v>
      </x:c>
      <x:c r="B117" s="73" t="str">
        <x:v>Q20</x:v>
      </x:c>
      <x:c r="C117" s="73" t="str">
        <x:v>Facebook Marketplace</x:v>
      </x:c>
      <x:c r="D117" s="73" t="str">
        <x:v>pendiente</x:v>
      </x:c>
      <x:c r="E117" s="75"/>
      <x:c r="F117" s="73"/>
      <x:c r="G117" s="77"/>
      <x:c r="H117" s="77"/>
      <x:c r="I117" s="77"/>
      <x:c r="J117" s="73"/>
      <x:c r="K117" s="73"/>
      <x:c r="L117" s="73"/>
      <x:c r="M117" s="73"/>
      <x:c r="N117" s="73"/>
      <x:c r="O117" s="73"/>
      <x:c r="P117" s="73"/>
    </x:row>
    <x:row r="118">
      <x:c r="A118" s="73" t="str">
        <x:v>Q20-C3</x:v>
      </x:c>
      <x:c r="B118" s="73" t="str">
        <x:v>Q20</x:v>
      </x:c>
      <x:c r="C118" s="73" t="str">
        <x:v>Directorio local</x:v>
      </x:c>
      <x:c r="D118" s="73" t="str">
        <x:v>pendiente</x:v>
      </x:c>
      <x:c r="E118" s="75"/>
      <x:c r="F118" s="73"/>
      <x:c r="G118" s="77"/>
      <x:c r="H118" s="77"/>
      <x:c r="I118" s="77"/>
      <x:c r="J118" s="73"/>
      <x:c r="K118" s="73"/>
      <x:c r="L118" s="73"/>
      <x:c r="M118" s="73"/>
      <x:c r="N118" s="73"/>
      <x:c r="O118" s="73"/>
      <x:c r="P118" s="73"/>
    </x:row>
    <x:row r="119">
      <x:c r="A119" s="73" t="str">
        <x:v>Q20-C4</x:v>
      </x:c>
      <x:c r="B119" s="73" t="str">
        <x:v>Q20</x:v>
      </x:c>
      <x:c r="C119" s="73" t="str">
        <x:v>Comercia HN</x:v>
      </x:c>
      <x:c r="D119" s="73" t="str">
        <x:v>pendiente</x:v>
      </x:c>
      <x:c r="E119" s="75"/>
      <x:c r="F119" s="73"/>
      <x:c r="G119" s="77"/>
      <x:c r="H119" s="77"/>
      <x:c r="I119" s="77"/>
      <x:c r="J119" s="73"/>
      <x:c r="K119" s="73"/>
      <x:c r="L119" s="73"/>
      <x:c r="M119" s="73"/>
      <x:c r="N119" s="73"/>
      <x:c r="O119" s="73"/>
      <x:c r="P119" s="73"/>
    </x:row>
    <x:row r="120">
      <x:c r="A120" s="73" t="str">
        <x:v>Q20-C5</x:v>
      </x:c>
      <x:c r="B120" s="73" t="str">
        <x:v>Q20</x:v>
      </x:c>
      <x:c r="C120" s="73" t="str">
        <x:v>WhatsApp/contacto directo</x:v>
      </x:c>
      <x:c r="D120" s="73" t="str">
        <x:v>pendiente</x:v>
      </x:c>
      <x:c r="E120" s="75"/>
      <x:c r="F120" s="73"/>
      <x:c r="G120" s="77"/>
      <x:c r="H120" s="77"/>
      <x:c r="I120" s="77"/>
      <x:c r="J120" s="73"/>
      <x:c r="K120" s="73"/>
      <x:c r="L120" s="73"/>
      <x:c r="M120" s="73"/>
      <x:c r="N120" s="73"/>
      <x:c r="O120" s="73"/>
      <x:c r="P120" s="73"/>
    </x:row>
    <x:row r="121">
      <x:c r="A121" s="73" t="str">
        <x:v>Q20-C6</x:v>
      </x:c>
      <x:c r="B121" s="73" t="str">
        <x:v>Q20</x:v>
      </x:c>
      <x:c r="C121" s="73" t="str">
        <x:v>La Pulperia</x:v>
      </x:c>
      <x:c r="D121" s="73" t="str">
        <x:v>pendiente</x:v>
      </x:c>
      <x:c r="E121" s="75"/>
      <x:c r="F121" s="73"/>
      <x:c r="G121" s="77"/>
      <x:c r="H121" s="77"/>
      <x:c r="I121" s="77"/>
      <x:c r="J121" s="73"/>
      <x:c r="K121" s="73"/>
      <x:c r="L121" s="73"/>
      <x:c r="M121" s="73"/>
      <x:c r="N121" s="73"/>
      <x:c r="O121" s="73"/>
      <x:c r="P121" s="73"/>
    </x:row>
  </x:sheetData>
  <x:conditionalFormatting sqref="D2:D121">
    <x:cfRule type="containsText" dxfId="12" priority="1" operator="containsText" text="observado"/>
    <x:cfRule type="containsText" dxfId="13" priority="2" operator="containsText" text="desconocido"/>
  </x:conditionalFormatting>
  <x:dataValidations count="5">
    <x:dataValidation type="list" sqref="C2:C121">
      <x:formula1>"Google,Facebook Marketplace,Directorio local,Comercia HN,WhatsApp/contacto directo,La Pulperia"</x:formula1>
    </x:dataValidation>
    <x:dataValidation type="list" sqref="D2:D121">
      <x:formula1>"pendiente,observado,inferido,desconocido"</x:formula1>
    </x:dataValidation>
    <x:dataValidation type="list" sqref="F2:F121">
      <x:formula1>"si,no,desconocido"</x:formula1>
    </x:dataValidation>
    <x:dataValidation type="list" sqref="J2:M121">
      <x:formula1>"si,no,desconocido"</x:formula1>
    </x:dataValidation>
    <x:dataValidation type="list" sqref="O2:O121">
      <x:formula1>"respuesta_util,alternativa_inferior,abandono,bloqueado,completado,sin_necesidad,desconocido"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7" hidden="0" customWidth="1"/>
    <x:col min="5" max="5" width="21" hidden="0" customWidth="1"/>
    <x:col min="6" max="6" width="12" hidden="0" customWidth="1"/>
    <x:col min="7" max="7" width="20" hidden="0" customWidth="1"/>
    <x:col min="8" max="8" width="17" hidden="0" customWidth="1"/>
    <x:col min="9" max="9" width="19" hidden="0" customWidth="1"/>
    <x:col min="10" max="10" width="19" hidden="0" customWidth="1"/>
    <x:col min="11" max="11" width="18" hidden="0" customWidth="1"/>
    <x:col min="12" max="12" width="20" hidden="0" customWidth="1"/>
    <x:col min="13" max="13" width="24" hidden="0" customWidth="1"/>
    <x:col min="14" max="14" width="23" hidden="0" customWidth="1"/>
    <x:col min="15" max="15" width="22" hidden="0" customWidth="1"/>
    <x:col min="16" max="16" width="38" hidden="0" customWidth="1"/>
  </x:cols>
  <x:sheetData>
    <x:row r="1" ht="42" customHeight="1">
      <x:c r="A1" s="31" t="str">
        <x:v>recorrido_codigo</x:v>
      </x:c>
      <x:c r="B1" s="32" t="str">
        <x:v>estado_evidencia</x:v>
      </x:c>
      <x:c r="C1" s="32" t="str">
        <x:v>fecha</x:v>
      </x:c>
      <x:c r="D1" s="32" t="str">
        <x:v>consulta_codigo</x:v>
      </x:c>
      <x:c r="E1" s="32" t="str">
        <x:v>cohorte</x:v>
      </x:c>
      <x:c r="F1" s="32" t="str">
        <x:v>resultados</x:v>
      </x:c>
      <x:c r="G1" s="32" t="str">
        <x:v>alternativas_utiles</x:v>
      </x:c>
      <x:c r="H1" s="32" t="str">
        <x:v>oferta_abierta</x:v>
      </x:c>
      <x:c r="I1" s="32" t="str">
        <x:v>agregado_carrito</x:v>
      </x:c>
      <x:c r="J1" s="32" t="str">
        <x:v>pedido_preparado</x:v>
      </x:c>
      <x:c r="K1" s="32" t="str">
        <x:v>handoff_abierto</x:v>
      </x:c>
      <x:c r="L1" s="32" t="str">
        <x:v>vendedor_entendio</x:v>
      </x:c>
      <x:c r="M1" s="32" t="str">
        <x:v>retorno_otra_necesidad</x:v>
      </x:c>
      <x:c r="N1" s="32" t="str">
        <x:v>segundos_hasta_handoff</x:v>
      </x:c>
      <x:c r="O1" s="32" t="str">
        <x:v>desenlace</x:v>
      </x:c>
      <x:c r="P1" s="33" t="str">
        <x:v>nota_sin_pii_no_venta</x:v>
      </x:c>
    </x:row>
    <x:row r="2">
      <x:c r="A2" s="72" t="str">
        <x:v>P01</x:v>
      </x:c>
      <x:c r="B2" s="72" t="str">
        <x:v>pendiente</x:v>
      </x:c>
      <x:c r="C2" s="74"/>
      <x:c r="D2" s="72"/>
      <x:c r="E2" s="72"/>
      <x:c r="F2" s="76"/>
      <x:c r="G2" s="76"/>
      <x:c r="H2" s="72"/>
      <x:c r="I2" s="72"/>
      <x:c r="J2" s="72"/>
      <x:c r="K2" s="72"/>
      <x:c r="L2" s="72"/>
      <x:c r="M2" s="72"/>
      <x:c r="N2" s="76"/>
      <x:c r="O2" s="72"/>
      <x:c r="P2" s="72"/>
    </x:row>
    <x:row r="3">
      <x:c r="A3" s="73" t="str">
        <x:v>P02</x:v>
      </x:c>
      <x:c r="B3" s="73" t="str">
        <x:v>pendiente</x:v>
      </x:c>
      <x:c r="C3" s="75"/>
      <x:c r="D3" s="73"/>
      <x:c r="E3" s="73"/>
      <x:c r="F3" s="77"/>
      <x:c r="G3" s="77"/>
      <x:c r="H3" s="73"/>
      <x:c r="I3" s="73"/>
      <x:c r="J3" s="73"/>
      <x:c r="K3" s="73"/>
      <x:c r="L3" s="73"/>
      <x:c r="M3" s="73"/>
      <x:c r="N3" s="77"/>
      <x:c r="O3" s="73"/>
      <x:c r="P3" s="73"/>
    </x:row>
    <x:row r="4">
      <x:c r="A4" s="73" t="str">
        <x:v>P03</x:v>
      </x:c>
      <x:c r="B4" s="73" t="str">
        <x:v>pendiente</x:v>
      </x:c>
      <x:c r="C4" s="75"/>
      <x:c r="D4" s="73"/>
      <x:c r="E4" s="73"/>
      <x:c r="F4" s="77"/>
      <x:c r="G4" s="77"/>
      <x:c r="H4" s="73"/>
      <x:c r="I4" s="73"/>
      <x:c r="J4" s="73"/>
      <x:c r="K4" s="73"/>
      <x:c r="L4" s="73"/>
      <x:c r="M4" s="73"/>
      <x:c r="N4" s="77"/>
      <x:c r="O4" s="73"/>
      <x:c r="P4" s="73"/>
    </x:row>
    <x:row r="5">
      <x:c r="A5" s="73" t="str">
        <x:v>P04</x:v>
      </x:c>
      <x:c r="B5" s="73" t="str">
        <x:v>pendiente</x:v>
      </x:c>
      <x:c r="C5" s="75"/>
      <x:c r="D5" s="73"/>
      <x:c r="E5" s="73"/>
      <x:c r="F5" s="77"/>
      <x:c r="G5" s="77"/>
      <x:c r="H5" s="73"/>
      <x:c r="I5" s="73"/>
      <x:c r="J5" s="73"/>
      <x:c r="K5" s="73"/>
      <x:c r="L5" s="73"/>
      <x:c r="M5" s="73"/>
      <x:c r="N5" s="77"/>
      <x:c r="O5" s="73"/>
      <x:c r="P5" s="73"/>
    </x:row>
    <x:row r="6">
      <x:c r="A6" s="73" t="str">
        <x:v>P05</x:v>
      </x:c>
      <x:c r="B6" s="73" t="str">
        <x:v>pendiente</x:v>
      </x:c>
      <x:c r="C6" s="75"/>
      <x:c r="D6" s="73"/>
      <x:c r="E6" s="73"/>
      <x:c r="F6" s="77"/>
      <x:c r="G6" s="77"/>
      <x:c r="H6" s="73"/>
      <x:c r="I6" s="73"/>
      <x:c r="J6" s="73"/>
      <x:c r="K6" s="73"/>
      <x:c r="L6" s="73"/>
      <x:c r="M6" s="73"/>
      <x:c r="N6" s="77"/>
      <x:c r="O6" s="73"/>
      <x:c r="P6" s="73"/>
    </x:row>
    <x:row r="7">
      <x:c r="A7" s="73" t="str">
        <x:v>P06</x:v>
      </x:c>
      <x:c r="B7" s="73" t="str">
        <x:v>pendiente</x:v>
      </x:c>
      <x:c r="C7" s="75"/>
      <x:c r="D7" s="73"/>
      <x:c r="E7" s="73"/>
      <x:c r="F7" s="77"/>
      <x:c r="G7" s="77"/>
      <x:c r="H7" s="73"/>
      <x:c r="I7" s="73"/>
      <x:c r="J7" s="73"/>
      <x:c r="K7" s="73"/>
      <x:c r="L7" s="73"/>
      <x:c r="M7" s="73"/>
      <x:c r="N7" s="77"/>
      <x:c r="O7" s="73"/>
      <x:c r="P7" s="73"/>
    </x:row>
    <x:row r="8">
      <x:c r="A8" s="73" t="str">
        <x:v>P07</x:v>
      </x:c>
      <x:c r="B8" s="73" t="str">
        <x:v>pendiente</x:v>
      </x:c>
      <x:c r="C8" s="75"/>
      <x:c r="D8" s="73"/>
      <x:c r="E8" s="73"/>
      <x:c r="F8" s="77"/>
      <x:c r="G8" s="77"/>
      <x:c r="H8" s="73"/>
      <x:c r="I8" s="73"/>
      <x:c r="J8" s="73"/>
      <x:c r="K8" s="73"/>
      <x:c r="L8" s="73"/>
      <x:c r="M8" s="73"/>
      <x:c r="N8" s="77"/>
      <x:c r="O8" s="73"/>
      <x:c r="P8" s="73"/>
    </x:row>
    <x:row r="9">
      <x:c r="A9" s="73" t="str">
        <x:v>P08</x:v>
      </x:c>
      <x:c r="B9" s="73" t="str">
        <x:v>pendiente</x:v>
      </x:c>
      <x:c r="C9" s="75"/>
      <x:c r="D9" s="73"/>
      <x:c r="E9" s="73"/>
      <x:c r="F9" s="77"/>
      <x:c r="G9" s="77"/>
      <x:c r="H9" s="73"/>
      <x:c r="I9" s="73"/>
      <x:c r="J9" s="73"/>
      <x:c r="K9" s="73"/>
      <x:c r="L9" s="73"/>
      <x:c r="M9" s="73"/>
      <x:c r="N9" s="77"/>
      <x:c r="O9" s="73"/>
      <x:c r="P9" s="73"/>
    </x:row>
    <x:row r="10">
      <x:c r="A10" s="73" t="str">
        <x:v>P09</x:v>
      </x:c>
      <x:c r="B10" s="73" t="str">
        <x:v>pendiente</x:v>
      </x:c>
      <x:c r="C10" s="75"/>
      <x:c r="D10" s="73"/>
      <x:c r="E10" s="73"/>
      <x:c r="F10" s="77"/>
      <x:c r="G10" s="77"/>
      <x:c r="H10" s="73"/>
      <x:c r="I10" s="73"/>
      <x:c r="J10" s="73"/>
      <x:c r="K10" s="73"/>
      <x:c r="L10" s="73"/>
      <x:c r="M10" s="73"/>
      <x:c r="N10" s="77"/>
      <x:c r="O10" s="73"/>
      <x:c r="P10" s="73"/>
    </x:row>
    <x:row r="11">
      <x:c r="A11" s="73" t="str">
        <x:v>P10</x:v>
      </x:c>
      <x:c r="B11" s="73" t="str">
        <x:v>pendiente</x:v>
      </x:c>
      <x:c r="C11" s="75"/>
      <x:c r="D11" s="73"/>
      <x:c r="E11" s="73"/>
      <x:c r="F11" s="77"/>
      <x:c r="G11" s="77"/>
      <x:c r="H11" s="73"/>
      <x:c r="I11" s="73"/>
      <x:c r="J11" s="73"/>
      <x:c r="K11" s="73"/>
      <x:c r="L11" s="73"/>
      <x:c r="M11" s="73"/>
      <x:c r="N11" s="77"/>
      <x:c r="O11" s="73"/>
      <x:c r="P11" s="73"/>
    </x:row>
    <x:row r="12">
      <x:c r="A12" s="73" t="str">
        <x:v>P11</x:v>
      </x:c>
      <x:c r="B12" s="73" t="str">
        <x:v>pendiente</x:v>
      </x:c>
      <x:c r="C12" s="75"/>
      <x:c r="D12" s="73"/>
      <x:c r="E12" s="73"/>
      <x:c r="F12" s="77"/>
      <x:c r="G12" s="77"/>
      <x:c r="H12" s="73"/>
      <x:c r="I12" s="73"/>
      <x:c r="J12" s="73"/>
      <x:c r="K12" s="73"/>
      <x:c r="L12" s="73"/>
      <x:c r="M12" s="73"/>
      <x:c r="N12" s="77"/>
      <x:c r="O12" s="73"/>
      <x:c r="P12" s="73"/>
    </x:row>
    <x:row r="13">
      <x:c r="A13" s="73" t="str">
        <x:v>P12</x:v>
      </x:c>
      <x:c r="B13" s="73" t="str">
        <x:v>pendiente</x:v>
      </x:c>
      <x:c r="C13" s="75"/>
      <x:c r="D13" s="73"/>
      <x:c r="E13" s="73"/>
      <x:c r="F13" s="77"/>
      <x:c r="G13" s="77"/>
      <x:c r="H13" s="73"/>
      <x:c r="I13" s="73"/>
      <x:c r="J13" s="73"/>
      <x:c r="K13" s="73"/>
      <x:c r="L13" s="73"/>
      <x:c r="M13" s="73"/>
      <x:c r="N13" s="77"/>
      <x:c r="O13" s="73"/>
      <x:c r="P13" s="73"/>
    </x:row>
    <x:row r="14">
      <x:c r="A14" s="73" t="str">
        <x:v>P13</x:v>
      </x:c>
      <x:c r="B14" s="73" t="str">
        <x:v>pendiente</x:v>
      </x:c>
      <x:c r="C14" s="75"/>
      <x:c r="D14" s="73"/>
      <x:c r="E14" s="73"/>
      <x:c r="F14" s="77"/>
      <x:c r="G14" s="77"/>
      <x:c r="H14" s="73"/>
      <x:c r="I14" s="73"/>
      <x:c r="J14" s="73"/>
      <x:c r="K14" s="73"/>
      <x:c r="L14" s="73"/>
      <x:c r="M14" s="73"/>
      <x:c r="N14" s="77"/>
      <x:c r="O14" s="73"/>
      <x:c r="P14" s="73"/>
    </x:row>
    <x:row r="15">
      <x:c r="A15" s="73" t="str">
        <x:v>P14</x:v>
      </x:c>
      <x:c r="B15" s="73" t="str">
        <x:v>pendiente</x:v>
      </x:c>
      <x:c r="C15" s="75"/>
      <x:c r="D15" s="73"/>
      <x:c r="E15" s="73"/>
      <x:c r="F15" s="77"/>
      <x:c r="G15" s="77"/>
      <x:c r="H15" s="73"/>
      <x:c r="I15" s="73"/>
      <x:c r="J15" s="73"/>
      <x:c r="K15" s="73"/>
      <x:c r="L15" s="73"/>
      <x:c r="M15" s="73"/>
      <x:c r="N15" s="77"/>
      <x:c r="O15" s="73"/>
      <x:c r="P15" s="73"/>
    </x:row>
    <x:row r="16">
      <x:c r="A16" s="73" t="str">
        <x:v>P15</x:v>
      </x:c>
      <x:c r="B16" s="73" t="str">
        <x:v>pendiente</x:v>
      </x:c>
      <x:c r="C16" s="75"/>
      <x:c r="D16" s="73"/>
      <x:c r="E16" s="73"/>
      <x:c r="F16" s="77"/>
      <x:c r="G16" s="77"/>
      <x:c r="H16" s="73"/>
      <x:c r="I16" s="73"/>
      <x:c r="J16" s="73"/>
      <x:c r="K16" s="73"/>
      <x:c r="L16" s="73"/>
      <x:c r="M16" s="73"/>
      <x:c r="N16" s="77"/>
      <x:c r="O16" s="73"/>
      <x:c r="P16" s="73"/>
    </x:row>
    <x:row r="17">
      <x:c r="A17" s="73" t="str">
        <x:v>P16</x:v>
      </x:c>
      <x:c r="B17" s="73" t="str">
        <x:v>pendiente</x:v>
      </x:c>
      <x:c r="C17" s="75"/>
      <x:c r="D17" s="73"/>
      <x:c r="E17" s="73"/>
      <x:c r="F17" s="77"/>
      <x:c r="G17" s="77"/>
      <x:c r="H17" s="73"/>
      <x:c r="I17" s="73"/>
      <x:c r="J17" s="73"/>
      <x:c r="K17" s="73"/>
      <x:c r="L17" s="73"/>
      <x:c r="M17" s="73"/>
      <x:c r="N17" s="77"/>
      <x:c r="O17" s="73"/>
      <x:c r="P17" s="73"/>
    </x:row>
    <x:row r="18">
      <x:c r="A18" s="73" t="str">
        <x:v>P17</x:v>
      </x:c>
      <x:c r="B18" s="73" t="str">
        <x:v>pendiente</x:v>
      </x:c>
      <x:c r="C18" s="75"/>
      <x:c r="D18" s="73"/>
      <x:c r="E18" s="73"/>
      <x:c r="F18" s="77"/>
      <x:c r="G18" s="77"/>
      <x:c r="H18" s="73"/>
      <x:c r="I18" s="73"/>
      <x:c r="J18" s="73"/>
      <x:c r="K18" s="73"/>
      <x:c r="L18" s="73"/>
      <x:c r="M18" s="73"/>
      <x:c r="N18" s="77"/>
      <x:c r="O18" s="73"/>
      <x:c r="P18" s="73"/>
    </x:row>
    <x:row r="19">
      <x:c r="A19" s="73" t="str">
        <x:v>P18</x:v>
      </x:c>
      <x:c r="B19" s="73" t="str">
        <x:v>pendiente</x:v>
      </x:c>
      <x:c r="C19" s="75"/>
      <x:c r="D19" s="73"/>
      <x:c r="E19" s="73"/>
      <x:c r="F19" s="77"/>
      <x:c r="G19" s="77"/>
      <x:c r="H19" s="73"/>
      <x:c r="I19" s="73"/>
      <x:c r="J19" s="73"/>
      <x:c r="K19" s="73"/>
      <x:c r="L19" s="73"/>
      <x:c r="M19" s="73"/>
      <x:c r="N19" s="77"/>
      <x:c r="O19" s="73"/>
      <x:c r="P19" s="73"/>
    </x:row>
    <x:row r="20">
      <x:c r="A20" s="73" t="str">
        <x:v>P19</x:v>
      </x:c>
      <x:c r="B20" s="73" t="str">
        <x:v>pendiente</x:v>
      </x:c>
      <x:c r="C20" s="75"/>
      <x:c r="D20" s="73"/>
      <x:c r="E20" s="73"/>
      <x:c r="F20" s="77"/>
      <x:c r="G20" s="77"/>
      <x:c r="H20" s="73"/>
      <x:c r="I20" s="73"/>
      <x:c r="J20" s="73"/>
      <x:c r="K20" s="73"/>
      <x:c r="L20" s="73"/>
      <x:c r="M20" s="73"/>
      <x:c r="N20" s="77"/>
      <x:c r="O20" s="73"/>
      <x:c r="P20" s="73"/>
    </x:row>
    <x:row r="21">
      <x:c r="A21" s="73" t="str">
        <x:v>P20</x:v>
      </x:c>
      <x:c r="B21" s="73" t="str">
        <x:v>pendiente</x:v>
      </x:c>
      <x:c r="C21" s="75"/>
      <x:c r="D21" s="73"/>
      <x:c r="E21" s="73"/>
      <x:c r="F21" s="77"/>
      <x:c r="G21" s="77"/>
      <x:c r="H21" s="73"/>
      <x:c r="I21" s="73"/>
      <x:c r="J21" s="73"/>
      <x:c r="K21" s="73"/>
      <x:c r="L21" s="73"/>
      <x:c r="M21" s="73"/>
      <x:c r="N21" s="77"/>
      <x:c r="O21" s="73"/>
      <x:c r="P21" s="73"/>
    </x:row>
    <x:row r="22">
      <x:c r="A22" s="73" t="str">
        <x:v>P21</x:v>
      </x:c>
      <x:c r="B22" s="73" t="str">
        <x:v>pendiente</x:v>
      </x:c>
      <x:c r="C22" s="75"/>
      <x:c r="D22" s="73"/>
      <x:c r="E22" s="73"/>
      <x:c r="F22" s="77"/>
      <x:c r="G22" s="77"/>
      <x:c r="H22" s="73"/>
      <x:c r="I22" s="73"/>
      <x:c r="J22" s="73"/>
      <x:c r="K22" s="73"/>
      <x:c r="L22" s="73"/>
      <x:c r="M22" s="73"/>
      <x:c r="N22" s="77"/>
      <x:c r="O22" s="73"/>
      <x:c r="P22" s="73"/>
    </x:row>
    <x:row r="23">
      <x:c r="A23" s="73" t="str">
        <x:v>P22</x:v>
      </x:c>
      <x:c r="B23" s="73" t="str">
        <x:v>pendiente</x:v>
      </x:c>
      <x:c r="C23" s="75"/>
      <x:c r="D23" s="73"/>
      <x:c r="E23" s="73"/>
      <x:c r="F23" s="77"/>
      <x:c r="G23" s="77"/>
      <x:c r="H23" s="73"/>
      <x:c r="I23" s="73"/>
      <x:c r="J23" s="73"/>
      <x:c r="K23" s="73"/>
      <x:c r="L23" s="73"/>
      <x:c r="M23" s="73"/>
      <x:c r="N23" s="77"/>
      <x:c r="O23" s="73"/>
      <x:c r="P23" s="73"/>
    </x:row>
    <x:row r="24">
      <x:c r="A24" s="73" t="str">
        <x:v>P23</x:v>
      </x:c>
      <x:c r="B24" s="73" t="str">
        <x:v>pendiente</x:v>
      </x:c>
      <x:c r="C24" s="75"/>
      <x:c r="D24" s="73"/>
      <x:c r="E24" s="73"/>
      <x:c r="F24" s="77"/>
      <x:c r="G24" s="77"/>
      <x:c r="H24" s="73"/>
      <x:c r="I24" s="73"/>
      <x:c r="J24" s="73"/>
      <x:c r="K24" s="73"/>
      <x:c r="L24" s="73"/>
      <x:c r="M24" s="73"/>
      <x:c r="N24" s="77"/>
      <x:c r="O24" s="73"/>
      <x:c r="P24" s="73"/>
    </x:row>
    <x:row r="25">
      <x:c r="A25" s="73" t="str">
        <x:v>P24</x:v>
      </x:c>
      <x:c r="B25" s="73" t="str">
        <x:v>pendiente</x:v>
      </x:c>
      <x:c r="C25" s="75"/>
      <x:c r="D25" s="73"/>
      <x:c r="E25" s="73"/>
      <x:c r="F25" s="77"/>
      <x:c r="G25" s="77"/>
      <x:c r="H25" s="73"/>
      <x:c r="I25" s="73"/>
      <x:c r="J25" s="73"/>
      <x:c r="K25" s="73"/>
      <x:c r="L25" s="73"/>
      <x:c r="M25" s="73"/>
      <x:c r="N25" s="77"/>
      <x:c r="O25" s="73"/>
      <x:c r="P25" s="73"/>
    </x:row>
    <x:row r="26">
      <x:c r="A26" s="73" t="str">
        <x:v>P25</x:v>
      </x:c>
      <x:c r="B26" s="73" t="str">
        <x:v>pendiente</x:v>
      </x:c>
      <x:c r="C26" s="75"/>
      <x:c r="D26" s="73"/>
      <x:c r="E26" s="73"/>
      <x:c r="F26" s="77"/>
      <x:c r="G26" s="77"/>
      <x:c r="H26" s="73"/>
      <x:c r="I26" s="73"/>
      <x:c r="J26" s="73"/>
      <x:c r="K26" s="73"/>
      <x:c r="L26" s="73"/>
      <x:c r="M26" s="73"/>
      <x:c r="N26" s="77"/>
      <x:c r="O26" s="73"/>
      <x:c r="P26" s="73"/>
    </x:row>
    <x:row r="27">
      <x:c r="A27" s="73" t="str">
        <x:v>P26</x:v>
      </x:c>
      <x:c r="B27" s="73" t="str">
        <x:v>pendiente</x:v>
      </x:c>
      <x:c r="C27" s="75"/>
      <x:c r="D27" s="73"/>
      <x:c r="E27" s="73"/>
      <x:c r="F27" s="77"/>
      <x:c r="G27" s="77"/>
      <x:c r="H27" s="73"/>
      <x:c r="I27" s="73"/>
      <x:c r="J27" s="73"/>
      <x:c r="K27" s="73"/>
      <x:c r="L27" s="73"/>
      <x:c r="M27" s="73"/>
      <x:c r="N27" s="77"/>
      <x:c r="O27" s="73"/>
      <x:c r="P27" s="73"/>
    </x:row>
    <x:row r="28">
      <x:c r="A28" s="73" t="str">
        <x:v>P27</x:v>
      </x:c>
      <x:c r="B28" s="73" t="str">
        <x:v>pendiente</x:v>
      </x:c>
      <x:c r="C28" s="75"/>
      <x:c r="D28" s="73"/>
      <x:c r="E28" s="73"/>
      <x:c r="F28" s="77"/>
      <x:c r="G28" s="77"/>
      <x:c r="H28" s="73"/>
      <x:c r="I28" s="73"/>
      <x:c r="J28" s="73"/>
      <x:c r="K28" s="73"/>
      <x:c r="L28" s="73"/>
      <x:c r="M28" s="73"/>
      <x:c r="N28" s="77"/>
      <x:c r="O28" s="73"/>
      <x:c r="P28" s="73"/>
    </x:row>
    <x:row r="29">
      <x:c r="A29" s="73" t="str">
        <x:v>P28</x:v>
      </x:c>
      <x:c r="B29" s="73" t="str">
        <x:v>pendiente</x:v>
      </x:c>
      <x:c r="C29" s="75"/>
      <x:c r="D29" s="73"/>
      <x:c r="E29" s="73"/>
      <x:c r="F29" s="77"/>
      <x:c r="G29" s="77"/>
      <x:c r="H29" s="73"/>
      <x:c r="I29" s="73"/>
      <x:c r="J29" s="73"/>
      <x:c r="K29" s="73"/>
      <x:c r="L29" s="73"/>
      <x:c r="M29" s="73"/>
      <x:c r="N29" s="77"/>
      <x:c r="O29" s="73"/>
      <x:c r="P29" s="73"/>
    </x:row>
    <x:row r="30">
      <x:c r="A30" s="73" t="str">
        <x:v>P29</x:v>
      </x:c>
      <x:c r="B30" s="73" t="str">
        <x:v>pendiente</x:v>
      </x:c>
      <x:c r="C30" s="75"/>
      <x:c r="D30" s="73"/>
      <x:c r="E30" s="73"/>
      <x:c r="F30" s="77"/>
      <x:c r="G30" s="77"/>
      <x:c r="H30" s="73"/>
      <x:c r="I30" s="73"/>
      <x:c r="J30" s="73"/>
      <x:c r="K30" s="73"/>
      <x:c r="L30" s="73"/>
      <x:c r="M30" s="73"/>
      <x:c r="N30" s="77"/>
      <x:c r="O30" s="73"/>
      <x:c r="P30" s="73"/>
    </x:row>
    <x:row r="31">
      <x:c r="A31" s="73" t="str">
        <x:v>P30</x:v>
      </x:c>
      <x:c r="B31" s="73" t="str">
        <x:v>pendiente</x:v>
      </x:c>
      <x:c r="C31" s="75"/>
      <x:c r="D31" s="73"/>
      <x:c r="E31" s="73"/>
      <x:c r="F31" s="77"/>
      <x:c r="G31" s="77"/>
      <x:c r="H31" s="73"/>
      <x:c r="I31" s="73"/>
      <x:c r="J31" s="73"/>
      <x:c r="K31" s="73"/>
      <x:c r="L31" s="73"/>
      <x:c r="M31" s="73"/>
      <x:c r="N31" s="77"/>
      <x:c r="O31" s="73"/>
      <x:c r="P31" s="73"/>
    </x:row>
  </x:sheetData>
  <x:conditionalFormatting sqref="B2:B31">
    <x:cfRule type="containsText" dxfId="14" priority="1" operator="containsText" text="observado"/>
    <x:cfRule type="containsText" dxfId="15" priority="2" operator="containsText" text="desconocido"/>
  </x:conditionalFormatting>
  <x:dataValidations count="4">
    <x:dataValidation type="list" sqref="B2:B31">
      <x:formula1>"pendiente,observado,inferido,desconocido"</x:formula1>
    </x:dataValidation>
    <x:dataValidation type="list" sqref="E2:E31">
      <x:formula1>"productos,comida_encargo,servicios_digital"</x:formula1>
    </x:dataValidation>
    <x:dataValidation type="list" sqref="H2:M31">
      <x:formula1>"si,no,desconocido"</x:formula1>
    </x:dataValidation>
    <x:dataValidation type="list" sqref="O2:O31">
      <x:formula1>"respuesta_util,alternativa_inferior,abandono,bloqueado,completado,sin_necesidad,desconocido"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21" hidden="0" customWidth="1"/>
    <x:col min="5" max="5" width="23" hidden="0" customWidth="1"/>
    <x:col min="6" max="6" width="27" hidden="0" customWidth="1"/>
    <x:col min="7" max="7" width="20" hidden="0" customWidth="1"/>
    <x:col min="8" max="8" width="25" hidden="0" customWidth="1"/>
    <x:col min="9" max="9" width="18" hidden="0" customWidth="1"/>
    <x:col min="10" max="10" width="28" hidden="0" customWidth="1"/>
    <x:col min="11" max="11" width="25" hidden="0" customWidth="1"/>
    <x:col min="12" max="12" width="20" hidden="0" customWidth="1"/>
    <x:col min="13" max="13" width="20" hidden="0" customWidth="1"/>
  </x:cols>
  <x:sheetData>
    <x:row r="1" ht="32" customHeight="1">
      <x:c r="A1" s="3" t="str">
        <x:v>Matriz de decisión por cohorte — sólo evidencia observada</x:v>
      </x:c>
      <x:c r="B1" s="3" t="str">
        <x:v>Matriz de decisión por cohorte — sólo evidencia observada</x:v>
      </x:c>
      <x:c r="C1" s="3" t="str">
        <x:v>Matriz de decisión por cohorte — sólo evidencia observada</x:v>
      </x:c>
      <x:c r="D1" s="3" t="str">
        <x:v>Matriz de decisión por cohorte — sólo evidencia observada</x:v>
      </x:c>
      <x:c r="E1" s="3" t="str">
        <x:v>Matriz de decisión por cohorte — sólo evidencia observada</x:v>
      </x:c>
      <x:c r="F1" s="3" t="str">
        <x:v>Matriz de decisión por cohorte — sólo evidencia observada</x:v>
      </x:c>
      <x:c r="G1" s="3" t="str">
        <x:v>Matriz de decisión por cohorte — sólo evidencia observada</x:v>
      </x:c>
      <x:c r="H1" s="3" t="str">
        <x:v>Matriz de decisión por cohorte — sólo evidencia observada</x:v>
      </x:c>
      <x:c r="I1" s="3" t="str">
        <x:v>Matriz de decisión por cohorte — sólo evidencia observada</x:v>
      </x:c>
      <x:c r="J1" s="3" t="str">
        <x:v>Matriz de decisión por cohorte — sólo evidencia observada</x:v>
      </x:c>
      <x:c r="K1" s="3" t="str">
        <x:v>Matriz de decisión por cohorte — sólo evidencia observada</x:v>
      </x:c>
      <x:c r="L1" s="3" t="str">
        <x:v>Matriz de decisión por cohorte — sólo evidencia observada</x:v>
      </x:c>
      <x:c r="M1" s="3" t="str">
        <x:v>Matriz de decisión por cohorte — sólo evidencia observada</x:v>
      </x:c>
    </x:row>
    <x:row r="3" ht="42" customHeight="1">
      <x:c r="A3" s="31" t="str">
        <x:v>cohorte</x:v>
      </x:c>
      <x:c r="B3" s="32" t="str">
        <x:v>tareas vendedor observadas</x:v>
      </x:c>
      <x:c r="C3" s="32" t="str">
        <x:v>duracion promedio seg</x:v>
      </x:c>
      <x:c r="D3" s="32" t="str">
        <x:v>tareas sin asistencia</x:v>
      </x:c>
      <x:c r="E3" s="32" t="str">
        <x:v>reconfirmaciones observadas</x:v>
      </x:c>
      <x:c r="F3" s="32" t="str">
        <x:v>reconfirmaciones sin seguimiento</x:v>
      </x:c>
      <x:c r="G3" s="32" t="str">
        <x:v>consultas observadas</x:v>
      </x:c>
      <x:c r="H3" s="32" t="str">
        <x:v>intentos auditoria observados</x:v>
      </x:c>
      <x:c r="I3" s="32" t="str">
        <x:v>respuestas utiles</x:v>
      </x:c>
      <x:c r="J3" s="32" t="str">
        <x:v>intentos con 2+ alternativas</x:v>
      </x:c>
      <x:c r="K3" s="32" t="str">
        <x:v>recorridos piloto observados</x:v>
      </x:c>
      <x:c r="L3" s="32" t="str">
        <x:v>handoffs entendidos</x:v>
      </x:c>
      <x:c r="M3" s="33" t="str">
        <x:v>decision de Ale</x:v>
      </x:c>
    </x:row>
    <x:row r="4">
      <x:c r="A4" s="79" t="str">
        <x:v>productos</x:v>
      </x:c>
      <x:c r="B4" s="81" t="n">
        <x:f>COUNTIFS('Vendedores'!$C$2:$C$73,A4,'Vendedores'!$E$2:$E$73,"observado")</x:f>
        <x:v>0</x:v>
      </x:c>
      <x:c r="C4" s="83" t="str">
        <x:f>IFERROR(AVERAGEIFS('Vendedores'!$I$2:$I$73,'Vendedores'!$C$2:$C$73,A4,'Vendedores'!$E$2:$E$73,"observado"),"")</x:f>
      </x:c>
      <x:c r="D4" s="81" t="n">
        <x:f>COUNTIFS('Vendedores'!$C$2:$C$73,A4,'Vendedores'!$E$2:$E$73,"observado",'Vendedores'!$J$2:$J$73,"ninguna")</x:f>
        <x:v>0</x:v>
      </x:c>
      <x:c r="E4" s="81" t="n">
        <x:f>COUNTIFS('Reconfirmacion'!$B$2:$B$25,A4,'Reconfirmacion'!$D$2:$D$25,"observado")</x:f>
        <x:v>0</x:v>
      </x:c>
      <x:c r="F4" s="81" t="n">
        <x:f>COUNTIFS('Reconfirmacion'!$B$2:$B$25,A4,'Reconfirmacion'!$D$2:$D$25,"observado",'Reconfirmacion'!$H$2:$H$25,"si",'Reconfirmacion'!$I$2:$I$25,"si")</x:f>
        <x:v>0</x:v>
      </x:c>
      <x:c r="G4" s="81" t="n">
        <x:f>COUNTIFS('Consultas'!$F$2:$F$21,A4,'Consultas'!$B$2:$B$21,"observado")</x:f>
        <x:v>0</x:v>
      </x:c>
      <x:c r="H4" s="81" t="n">
        <x:f>SUMPRODUCT(('Auditoria'!$D$2:$D$121="observado")*(COUNTIF('Consultas'!$A$2:$A$21,'Auditoria'!$B$2:$B$121)&gt;0)*(IFERROR(XLOOKUP('Auditoria'!$B$2:$B$121,'Consultas'!$A$2:$A$21,'Consultas'!$F$2:$F$21,""),"")=A4))</x:f>
        <x:v>0</x:v>
      </x:c>
      <x:c r="I4" s="81" t="n">
        <x:f>SUMPRODUCT(('Auditoria'!$D$2:$D$121="observado")*('Auditoria'!$F$2:$F$121="si")*(IFERROR(XLOOKUP('Auditoria'!$B$2:$B$121,'Consultas'!$A$2:$A$21,'Consultas'!$F$2:$F$21,""),"")=A4))</x:f>
        <x:v>0</x:v>
      </x:c>
      <x:c r="J4" s="81" t="n">
        <x:f>SUMPRODUCT(('Auditoria'!$D$2:$D$121="observado")*('Auditoria'!$G$2:$G$121&gt;=2)*(IFERROR(XLOOKUP('Auditoria'!$B$2:$B$121,'Consultas'!$A$2:$A$21,'Consultas'!$F$2:$F$21,""),"")=A4))</x:f>
        <x:v>0</x:v>
      </x:c>
      <x:c r="K4" s="81" t="n">
        <x:f>COUNTIFS('Piloto'!$E$2:$E$31,A4,'Piloto'!$B$2:$B$31,"observado")</x:f>
        <x:v>0</x:v>
      </x:c>
      <x:c r="L4" s="81" t="n">
        <x:f>COUNTIFS('Piloto'!$E$2:$E$31,A4,'Piloto'!$B$2:$B$31,"observado",'Piloto'!$L$2:$L$31,"si")</x:f>
        <x:v>0</x:v>
      </x:c>
      <x:c r="M4" s="79"/>
    </x:row>
    <x:row r="5">
      <x:c r="A5" s="80" t="str">
        <x:v>comida_encargo</x:v>
      </x:c>
      <x:c r="B5" s="82" t="n">
        <x:f>COUNTIFS('Vendedores'!$C$2:$C$73,A5,'Vendedores'!$E$2:$E$73,"observado")</x:f>
        <x:v>0</x:v>
      </x:c>
      <x:c r="C5" s="84" t="str">
        <x:f>IFERROR(AVERAGEIFS('Vendedores'!$I$2:$I$73,'Vendedores'!$C$2:$C$73,A5,'Vendedores'!$E$2:$E$73,"observado"),"")</x:f>
      </x:c>
      <x:c r="D5" s="82" t="n">
        <x:f>COUNTIFS('Vendedores'!$C$2:$C$73,A5,'Vendedores'!$E$2:$E$73,"observado",'Vendedores'!$J$2:$J$73,"ninguna")</x:f>
        <x:v>0</x:v>
      </x:c>
      <x:c r="E5" s="82" t="n">
        <x:f>COUNTIFS('Reconfirmacion'!$B$2:$B$25,A5,'Reconfirmacion'!$D$2:$D$25,"observado")</x:f>
        <x:v>0</x:v>
      </x:c>
      <x:c r="F5" s="82" t="n">
        <x:f>COUNTIFS('Reconfirmacion'!$B$2:$B$25,A5,'Reconfirmacion'!$D$2:$D$25,"observado",'Reconfirmacion'!$H$2:$H$25,"si",'Reconfirmacion'!$I$2:$I$25,"si")</x:f>
        <x:v>0</x:v>
      </x:c>
      <x:c r="G5" s="82" t="n">
        <x:f>COUNTIFS('Consultas'!$F$2:$F$21,A5,'Consultas'!$B$2:$B$21,"observado")</x:f>
        <x:v>0</x:v>
      </x:c>
      <x:c r="H5" s="82" t="n">
        <x:f>SUMPRODUCT(('Auditoria'!$D$2:$D$121="observado")*(COUNTIF('Consultas'!$A$2:$A$21,'Auditoria'!$B$2:$B$121)&gt;0)*(IFERROR(XLOOKUP('Auditoria'!$B$2:$B$121,'Consultas'!$A$2:$A$21,'Consultas'!$F$2:$F$21,""),"")=A5))</x:f>
        <x:v>0</x:v>
      </x:c>
      <x:c r="I5" s="82" t="n">
        <x:f>SUMPRODUCT(('Auditoria'!$D$2:$D$121="observado")*('Auditoria'!$F$2:$F$121="si")*(IFERROR(XLOOKUP('Auditoria'!$B$2:$B$121,'Consultas'!$A$2:$A$21,'Consultas'!$F$2:$F$21,""),"")=A5))</x:f>
        <x:v>0</x:v>
      </x:c>
      <x:c r="J5" s="82" t="n">
        <x:f>SUMPRODUCT(('Auditoria'!$D$2:$D$121="observado")*('Auditoria'!$G$2:$G$121&gt;=2)*(IFERROR(XLOOKUP('Auditoria'!$B$2:$B$121,'Consultas'!$A$2:$A$21,'Consultas'!$F$2:$F$21,""),"")=A5))</x:f>
        <x:v>0</x:v>
      </x:c>
      <x:c r="K5" s="82" t="n">
        <x:f>COUNTIFS('Piloto'!$E$2:$E$31,A5,'Piloto'!$B$2:$B$31,"observado")</x:f>
        <x:v>0</x:v>
      </x:c>
      <x:c r="L5" s="82" t="n">
        <x:f>COUNTIFS('Piloto'!$E$2:$E$31,A5,'Piloto'!$B$2:$B$31,"observado",'Piloto'!$L$2:$L$31,"si")</x:f>
        <x:v>0</x:v>
      </x:c>
      <x:c r="M5" s="80"/>
    </x:row>
    <x:row r="6">
      <x:c r="A6" s="80" t="str">
        <x:v>servicios_digital</x:v>
      </x:c>
      <x:c r="B6" s="82" t="n">
        <x:f>COUNTIFS('Vendedores'!$C$2:$C$73,A6,'Vendedores'!$E$2:$E$73,"observado")</x:f>
        <x:v>0</x:v>
      </x:c>
      <x:c r="C6" s="84" t="str">
        <x:f>IFERROR(AVERAGEIFS('Vendedores'!$I$2:$I$73,'Vendedores'!$C$2:$C$73,A6,'Vendedores'!$E$2:$E$73,"observado"),"")</x:f>
      </x:c>
      <x:c r="D6" s="82" t="n">
        <x:f>COUNTIFS('Vendedores'!$C$2:$C$73,A6,'Vendedores'!$E$2:$E$73,"observado",'Vendedores'!$J$2:$J$73,"ninguna")</x:f>
        <x:v>0</x:v>
      </x:c>
      <x:c r="E6" s="82" t="n">
        <x:f>COUNTIFS('Reconfirmacion'!$B$2:$B$25,A6,'Reconfirmacion'!$D$2:$D$25,"observado")</x:f>
        <x:v>0</x:v>
      </x:c>
      <x:c r="F6" s="82" t="n">
        <x:f>COUNTIFS('Reconfirmacion'!$B$2:$B$25,A6,'Reconfirmacion'!$D$2:$D$25,"observado",'Reconfirmacion'!$H$2:$H$25,"si",'Reconfirmacion'!$I$2:$I$25,"si")</x:f>
        <x:v>0</x:v>
      </x:c>
      <x:c r="G6" s="82" t="n">
        <x:f>COUNTIFS('Consultas'!$F$2:$F$21,A6,'Consultas'!$B$2:$B$21,"observado")</x:f>
        <x:v>0</x:v>
      </x:c>
      <x:c r="H6" s="82" t="n">
        <x:f>SUMPRODUCT(('Auditoria'!$D$2:$D$121="observado")*(COUNTIF('Consultas'!$A$2:$A$21,'Auditoria'!$B$2:$B$121)&gt;0)*(IFERROR(XLOOKUP('Auditoria'!$B$2:$B$121,'Consultas'!$A$2:$A$21,'Consultas'!$F$2:$F$21,""),"")=A6))</x:f>
        <x:v>0</x:v>
      </x:c>
      <x:c r="I6" s="82" t="n">
        <x:f>SUMPRODUCT(('Auditoria'!$D$2:$D$121="observado")*('Auditoria'!$F$2:$F$121="si")*(IFERROR(XLOOKUP('Auditoria'!$B$2:$B$121,'Consultas'!$A$2:$A$21,'Consultas'!$F$2:$F$21,""),"")=A6))</x:f>
        <x:v>0</x:v>
      </x:c>
      <x:c r="J6" s="82" t="n">
        <x:f>SUMPRODUCT(('Auditoria'!$D$2:$D$121="observado")*('Auditoria'!$G$2:$G$121&gt;=2)*(IFERROR(XLOOKUP('Auditoria'!$B$2:$B$121,'Consultas'!$A$2:$A$21,'Consultas'!$F$2:$F$21,""),"")=A6))</x:f>
        <x:v>0</x:v>
      </x:c>
      <x:c r="K6" s="82" t="n">
        <x:f>COUNTIFS('Piloto'!$E$2:$E$31,A6,'Piloto'!$B$2:$B$31,"observado")</x:f>
        <x:v>0</x:v>
      </x:c>
      <x:c r="L6" s="82" t="n">
        <x:f>COUNTIFS('Piloto'!$E$2:$E$31,A6,'Piloto'!$B$2:$B$31,"observado",'Piloto'!$L$2:$L$31,"si")</x:f>
        <x:v>0</x:v>
      </x:c>
      <x:c r="M6" s="80"/>
    </x:row>
    <x:row r="8">
      <x:c r="A8" s="18" t="str">
        <x:v>La matriz no declara ganadora. Requiere revisar notas, desconocidos, cobertura de muestra y dependencias manuales. Los campos de piloto permanecerán en cero hasta una autorización separada y evidencia real.</x:v>
      </x:c>
      <x:c r="B8" s="19" t="str">
        <x:v>La matriz no declara ganadora. Requiere revisar notas, desconocidos, cobertura de muestra y dependencias manuales. Los campos de piloto permanecerán en cero hasta una autorización separada y evidencia real.</x:v>
      </x:c>
      <x:c r="C8" s="19" t="str">
        <x:v>La matriz no declara ganadora. Requiere revisar notas, desconocidos, cobertura de muestra y dependencias manuales. Los campos de piloto permanecerán en cero hasta una autorización separada y evidencia real.</x:v>
      </x:c>
      <x:c r="D8" s="19" t="str">
        <x:v>La matriz no declara ganadora. Requiere revisar notas, desconocidos, cobertura de muestra y dependencias manuales. Los campos de piloto permanecerán en cero hasta una autorización separada y evidencia real.</x:v>
      </x:c>
      <x:c r="E8" s="19" t="str">
        <x:v>La matriz no declara ganadora. Requiere revisar notas, desconocidos, cobertura de muestra y dependencias manuales. Los campos de piloto permanecerán en cero hasta una autorización separada y evidencia real.</x:v>
      </x:c>
      <x:c r="F8" s="19" t="str">
        <x:v>La matriz no declara ganadora. Requiere revisar notas, desconocidos, cobertura de muestra y dependencias manuales. Los campos de piloto permanecerán en cero hasta una autorización separada y evidencia real.</x:v>
      </x:c>
      <x:c r="G8" s="19" t="str">
        <x:v>La matriz no declara ganadora. Requiere revisar notas, desconocidos, cobertura de muestra y dependencias manuales. Los campos de piloto permanecerán en cero hasta una autorización separada y evidencia real.</x:v>
      </x:c>
      <x:c r="H8" s="19" t="str">
        <x:v>La matriz no declara ganadora. Requiere revisar notas, desconocidos, cobertura de muestra y dependencias manuales. Los campos de piloto permanecerán en cero hasta una autorización separada y evidencia real.</x:v>
      </x:c>
      <x:c r="I8" s="19" t="str">
        <x:v>La matriz no declara ganadora. Requiere revisar notas, desconocidos, cobertura de muestra y dependencias manuales. Los campos de piloto permanecerán en cero hasta una autorización separada y evidencia real.</x:v>
      </x:c>
      <x:c r="J8" s="19" t="str">
        <x:v>La matriz no declara ganadora. Requiere revisar notas, desconocidos, cobertura de muestra y dependencias manuales. Los campos de piloto permanecerán en cero hasta una autorización separada y evidencia real.</x:v>
      </x:c>
      <x:c r="K8" s="19" t="str">
        <x:v>La matriz no declara ganadora. Requiere revisar notas, desconocidos, cobertura de muestra y dependencias manuales. Los campos de piloto permanecerán en cero hasta una autorización separada y evidencia real.</x:v>
      </x:c>
      <x:c r="L8" s="19" t="str">
        <x:v>La matriz no declara ganadora. Requiere revisar notas, desconocidos, cobertura de muestra y dependencias manuales. Los campos de piloto permanecerán en cero hasta una autorización separada y evidencia real.</x:v>
      </x:c>
      <x:c r="M8" s="20" t="str">
        <x:v>La matriz no declara ganadora. Requiere revisar notas, desconocidos, cobertura de muestra y dependencias manuales. Los campos de piloto permanecerán en cero hasta una autorización separada y evidencia real.</x:v>
      </x:c>
    </x:row>
    <x:row r="9">
      <x:c r="A9" s="90" t="str">
        <x:v>La matriz no declara ganadora. Requiere revisar notas, desconocidos, cobertura de muestra y dependencias manuales. Los campos de piloto permanecerán en cero hasta una autorización separada y evidencia real.</x:v>
      </x:c>
      <x:c r="B9" s="91" t="str">
        <x:v>La matriz no declara ganadora. Requiere revisar notas, desconocidos, cobertura de muestra y dependencias manuales. Los campos de piloto permanecerán en cero hasta una autorización separada y evidencia real.</x:v>
      </x:c>
      <x:c r="C9" s="91" t="str">
        <x:v>La matriz no declara ganadora. Requiere revisar notas, desconocidos, cobertura de muestra y dependencias manuales. Los campos de piloto permanecerán en cero hasta una autorización separada y evidencia real.</x:v>
      </x:c>
      <x:c r="D9" s="91" t="str">
        <x:v>La matriz no declara ganadora. Requiere revisar notas, desconocidos, cobertura de muestra y dependencias manuales. Los campos de piloto permanecerán en cero hasta una autorización separada y evidencia real.</x:v>
      </x:c>
      <x:c r="E9" s="91" t="str">
        <x:v>La matriz no declara ganadora. Requiere revisar notas, desconocidos, cobertura de muestra y dependencias manuales. Los campos de piloto permanecerán en cero hasta una autorización separada y evidencia real.</x:v>
      </x:c>
      <x:c r="F9" s="91" t="str">
        <x:v>La matriz no declara ganadora. Requiere revisar notas, desconocidos, cobertura de muestra y dependencias manuales. Los campos de piloto permanecerán en cero hasta una autorización separada y evidencia real.</x:v>
      </x:c>
      <x:c r="G9" s="91" t="str">
        <x:v>La matriz no declara ganadora. Requiere revisar notas, desconocidos, cobertura de muestra y dependencias manuales. Los campos de piloto permanecerán en cero hasta una autorización separada y evidencia real.</x:v>
      </x:c>
      <x:c r="H9" s="91" t="str">
        <x:v>La matriz no declara ganadora. Requiere revisar notas, desconocidos, cobertura de muestra y dependencias manuales. Los campos de piloto permanecerán en cero hasta una autorización separada y evidencia real.</x:v>
      </x:c>
      <x:c r="I9" s="91" t="str">
        <x:v>La matriz no declara ganadora. Requiere revisar notas, desconocidos, cobertura de muestra y dependencias manuales. Los campos de piloto permanecerán en cero hasta una autorización separada y evidencia real.</x:v>
      </x:c>
      <x:c r="J9" s="91" t="str">
        <x:v>La matriz no declara ganadora. Requiere revisar notas, desconocidos, cobertura de muestra y dependencias manuales. Los campos de piloto permanecerán en cero hasta una autorización separada y evidencia real.</x:v>
      </x:c>
      <x:c r="K9" s="91" t="str">
        <x:v>La matriz no declara ganadora. Requiere revisar notas, desconocidos, cobertura de muestra y dependencias manuales. Los campos de piloto permanecerán en cero hasta una autorización separada y evidencia real.</x:v>
      </x:c>
      <x:c r="L9" s="91" t="str">
        <x:v>La matriz no declara ganadora. Requiere revisar notas, desconocidos, cobertura de muestra y dependencias manuales. Los campos de piloto permanecerán en cero hasta una autorización separada y evidencia real.</x:v>
      </x:c>
      <x:c r="M9" s="92" t="str">
        <x:v>La matriz no declara ganadora. Requiere revisar notas, desconocidos, cobertura de muestra y dependencias manuales. Los campos de piloto permanecerán en cero hasta una autorización separada y evidencia real.</x:v>
      </x:c>
    </x:row>
    <x:row r="10">
      <x:c r="A10" s="21" t="str">
        <x:v>La matriz no declara ganadora. Requiere revisar notas, desconocidos, cobertura de muestra y dependencias manuales. Los campos de piloto permanecerán en cero hasta una autorización separada y evidencia real.</x:v>
      </x:c>
      <x:c r="B10" s="22" t="str">
        <x:v>La matriz no declara ganadora. Requiere revisar notas, desconocidos, cobertura de muestra y dependencias manuales. Los campos de piloto permanecerán en cero hasta una autorización separada y evidencia real.</x:v>
      </x:c>
      <x:c r="C10" s="22" t="str">
        <x:v>La matriz no declara ganadora. Requiere revisar notas, desconocidos, cobertura de muestra y dependencias manuales. Los campos de piloto permanecerán en cero hasta una autorización separada y evidencia real.</x:v>
      </x:c>
      <x:c r="D10" s="22" t="str">
        <x:v>La matriz no declara ganadora. Requiere revisar notas, desconocidos, cobertura de muestra y dependencias manuales. Los campos de piloto permanecerán en cero hasta una autorización separada y evidencia real.</x:v>
      </x:c>
      <x:c r="E10" s="22" t="str">
        <x:v>La matriz no declara ganadora. Requiere revisar notas, desconocidos, cobertura de muestra y dependencias manuales. Los campos de piloto permanecerán en cero hasta una autorización separada y evidencia real.</x:v>
      </x:c>
      <x:c r="F10" s="22" t="str">
        <x:v>La matriz no declara ganadora. Requiere revisar notas, desconocidos, cobertura de muestra y dependencias manuales. Los campos de piloto permanecerán en cero hasta una autorización separada y evidencia real.</x:v>
      </x:c>
      <x:c r="G10" s="22" t="str">
        <x:v>La matriz no declara ganadora. Requiere revisar notas, desconocidos, cobertura de muestra y dependencias manuales. Los campos de piloto permanecerán en cero hasta una autorización separada y evidencia real.</x:v>
      </x:c>
      <x:c r="H10" s="22" t="str">
        <x:v>La matriz no declara ganadora. Requiere revisar notas, desconocidos, cobertura de muestra y dependencias manuales. Los campos de piloto permanecerán en cero hasta una autorización separada y evidencia real.</x:v>
      </x:c>
      <x:c r="I10" s="22" t="str">
        <x:v>La matriz no declara ganadora. Requiere revisar notas, desconocidos, cobertura de muestra y dependencias manuales. Los campos de piloto permanecerán en cero hasta una autorización separada y evidencia real.</x:v>
      </x:c>
      <x:c r="J10" s="22" t="str">
        <x:v>La matriz no declara ganadora. Requiere revisar notas, desconocidos, cobertura de muestra y dependencias manuales. Los campos de piloto permanecerán en cero hasta una autorización separada y evidencia real.</x:v>
      </x:c>
      <x:c r="K10" s="22" t="str">
        <x:v>La matriz no declara ganadora. Requiere revisar notas, desconocidos, cobertura de muestra y dependencias manuales. Los campos de piloto permanecerán en cero hasta una autorización separada y evidencia real.</x:v>
      </x:c>
      <x:c r="L10" s="22" t="str">
        <x:v>La matriz no declara ganadora. Requiere revisar notas, desconocidos, cobertura de muestra y dependencias manuales. Los campos de piloto permanecerán en cero hasta una autorización separada y evidencia real.</x:v>
      </x:c>
      <x:c r="M10" s="23" t="str">
        <x:v>La matriz no declara ganadora. Requiere revisar notas, desconocidos, cobertura de muestra y dependencias manuales. Los campos de piloto permanecerán en cero hasta una autorización separada y evidencia real.</x:v>
      </x:c>
    </x:row>
  </x:sheetData>
  <x:mergeCells>
    <x:mergeCell ref="A1:M1"/>
    <x:mergeCell ref="A8:M10"/>
  </x:mergeCells>
  <x:dataValidations count="1">
    <x:dataValidation type="list" sqref="M4:M6">
      <x:formula1>"continuar,concentrar,reducir,detener,sin_decision"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3" hidden="0" customWidth="1"/>
    <x:col min="3" max="3" width="48" hidden="0" customWidth="1"/>
    <x:col min="4" max="4" width="44" hidden="0" customWidth="1"/>
  </x:cols>
  <x:sheetData>
    <x:row r="1" ht="42" customHeight="1">
      <x:c r="A1" s="31" t="str">
        <x:v>campo</x:v>
      </x:c>
      <x:c r="B1" s="32" t="str">
        <x:v>valor</x:v>
      </x:c>
      <x:c r="C1" s="32" t="str">
        <x:v>definicion</x:v>
      </x:c>
      <x:c r="D1" s="33" t="str">
        <x:v>limite</x:v>
      </x:c>
    </x:row>
    <x:row r="2">
      <x:c r="A2" s="95" t="str">
        <x:v>estado_evidencia</x:v>
      </x:c>
      <x:c r="B2" s="95" t="str">
        <x:v>pendiente</x:v>
      </x:c>
      <x:c r="C2" s="95" t="str">
        <x:v>Espacio preparado sin evidencia</x:v>
      </x:c>
      <x:c r="D2" s="95" t="str">
        <x:v>No cuenta en la matriz</x:v>
      </x:c>
    </x:row>
    <x:row r="3">
      <x:c r="A3" s="96" t="str">
        <x:v>estado_evidencia</x:v>
      </x:c>
      <x:c r="B3" s="96" t="str">
        <x:v>observado</x:v>
      </x:c>
      <x:c r="C3" s="96" t="str">
        <x:v>Hecho registrado directamente</x:v>
      </x:c>
      <x:c r="D3" s="96" t="str">
        <x:v>Único estado agregado</x:v>
      </x:c>
    </x:row>
    <x:row r="4">
      <x:c r="A4" s="96" t="str">
        <x:v>estado_evidencia</x:v>
      </x:c>
      <x:c r="B4" s="96" t="str">
        <x:v>inferido</x:v>
      </x:c>
      <x:c r="C4" s="96" t="str">
        <x:v>Interpretación posterior</x:v>
      </x:c>
      <x:c r="D4" s="96" t="str">
        <x:v>Separar del hecho</x:v>
      </x:c>
    </x:row>
    <x:row r="5">
      <x:c r="A5" s="96" t="str">
        <x:v>estado_evidencia</x:v>
      </x:c>
      <x:c r="B5" s="96" t="str">
        <x:v>desconocido</x:v>
      </x:c>
      <x:c r="C5" s="96" t="str">
        <x:v>No hubo evidencia suficiente</x:v>
      </x:c>
      <x:c r="D5" s="96" t="str">
        <x:v>No completar por intuición</x:v>
      </x:c>
    </x:row>
    <x:row r="6">
      <x:c r="A6" s="96" t="str">
        <x:v>cohorte</x:v>
      </x:c>
      <x:c r="B6" s="96" t="str">
        <x:v>productos</x:v>
      </x:c>
      <x:c r="C6" s="96" t="str">
        <x:v>Producto con stock</x:v>
      </x:c>
      <x:c r="D6" s="96" t="str">
        <x:v>No supone inventario garantizado</x:v>
      </x:c>
    </x:row>
    <x:row r="7">
      <x:c r="A7" s="96" t="str">
        <x:v>cohorte</x:v>
      </x:c>
      <x:c r="B7" s="96" t="str">
        <x:v>comida_encargo</x:v>
      </x:c>
      <x:c r="C7" s="96" t="str">
        <x:v>Comida o producción por ventana</x:v>
      </x:c>
      <x:c r="D7" s="96" t="str">
        <x:v>Capacidad no equivale a stock</x:v>
      </x:c>
    </x:row>
    <x:row r="8">
      <x:c r="A8" s="96" t="str">
        <x:v>cohorte</x:v>
      </x:c>
      <x:c r="B8" s="96" t="str">
        <x:v>servicios_digital</x:v>
      </x:c>
      <x:c r="C8" s="96" t="str">
        <x:v>Servicios locales y ofertas digitales</x:v>
      </x:c>
      <x:c r="D8" s="96" t="str">
        <x:v>Puede requerir cotización</x:v>
      </x:c>
    </x:row>
    <x:row r="9">
      <x:c r="A9" s="96" t="str">
        <x:v>handoff_abierto</x:v>
      </x:c>
      <x:c r="B9" s="96" t="str">
        <x:v>si</x:v>
      </x:c>
      <x:c r="C9" s="96" t="str">
        <x:v>Se abrió el destino de WhatsApp</x:v>
      </x:c>
      <x:c r="D9" s="96" t="str">
        <x:v>No prueba mensaje, pedido o venta</x:v>
      </x:c>
    </x:row>
    <x:row r="10">
      <x:c r="A10" s="96" t="str">
        <x:v>vendedor_entendio</x:v>
      </x:c>
      <x:c r="B10" s="96" t="str">
        <x:v>si</x:v>
      </x:c>
      <x:c r="C10" s="96" t="str">
        <x:v>Confirmación voluntaria de comprensión</x:v>
      </x:c>
      <x:c r="D10" s="96" t="str">
        <x:v>No prueba aceptación o cumplimiento</x:v>
      </x:c>
    </x:row>
    <x:row r="11">
      <x:c r="A11" s="96" t="str">
        <x:v>respuesta_util</x:v>
      </x:c>
      <x:c r="B11" s="96" t="str">
        <x:v>si</x:v>
      </x:c>
      <x:c r="C11" s="96" t="str">
        <x:v>El canal permitió avanzar con contexto suficiente</x:v>
      </x:c>
      <x:c r="D11" s="96" t="str">
        <x:v>Registrar datos visibles</x:v>
      </x:c>
    </x:row>
    <x:row r="12">
      <x:c r="A12" s="96" t="str">
        <x:v>alternativas_utiles</x:v>
      </x:c>
      <x:c r="B12" s="96" t="str">
        <x:v>numero</x:v>
      </x:c>
      <x:c r="C12" s="96" t="str">
        <x:v>Opciones vigentes que responden la consulta</x:v>
      </x:c>
      <x:c r="D12" s="96" t="str">
        <x:v>No contar fichas vacías</x:v>
      </x:c>
    </x:row>
    <x:row r="13">
      <x:c r="A13" s="96" t="str">
        <x:v>contacto_verificable</x:v>
      </x:c>
      <x:c r="B13" s="96" t="str">
        <x:v>si/no</x:v>
      </x:c>
      <x:c r="C13" s="96" t="str">
        <x:v>Existe un canal público verificable</x:v>
      </x:c>
      <x:c r="D13" s="96" t="str">
        <x:v>No copiar el contacto</x:v>
      </x:c>
    </x:row>
    <x:row r="14">
      <x:c r="A14" s="96" t="str">
        <x:v>fuente_codigo_local</x:v>
      </x:c>
      <x:c r="B14" s="96" t="str">
        <x:v>codigo</x:v>
      </x:c>
      <x:c r="C14" s="96" t="str">
        <x:v>Referencia a evidencia guardada fuera de Git</x:v>
      </x:c>
      <x:c r="D14" s="96" t="str">
        <x:v>No escribir URL o cuenta</x:v>
      </x:c>
    </x:row>
    <x:row r="15">
      <x:c r="A15" s="96" t="str">
        <x:v>consulta_normalizada</x:v>
      </x:c>
      <x:c r="B15" s="96" t="str">
        <x:v>texto</x:v>
      </x:c>
      <x:c r="C15" s="96" t="str">
        <x:v>Necesidad sin datos personales</x:v>
      </x:c>
      <x:c r="D15" s="96" t="str">
        <x:v>No nombres, cuentas o direcciones</x:v>
      </x:c>
    </x:row>
    <x:row r="16">
      <x:c r="A16" s="96" t="str">
        <x:v>duracion_segundos</x:v>
      </x:c>
      <x:c r="B16" s="96" t="str">
        <x:v>numero</x:v>
      </x:c>
      <x:c r="C16" s="96" t="str">
        <x:v>Tiempo observado de la tarea</x:v>
      </x:c>
      <x:c r="D16" s="96" t="str">
        <x:v>No estimar después</x:v>
      </x:c>
    </x:row>
    <x:row r="17">
      <x:c r="A17" s="96" t="str">
        <x:v>asistencia</x:v>
      </x:c>
      <x:c r="B17" s="96" t="str">
        <x:v>nivel</x:v>
      </x:c>
      <x:c r="C17" s="96" t="str">
        <x:v>Ayuda realmente recibida</x:v>
      </x:c>
      <x:c r="D17" s="96" t="str">
        <x:v>No ocultar intervención</x:v>
      </x:c>
    </x:row>
    <x:row r="18">
      <x:c r="A18" s="96" t="str">
        <x:v>decision de Ale</x:v>
      </x:c>
      <x:c r="B18" s="96" t="str">
        <x:v>estado</x:v>
      </x:c>
      <x:c r="C18" s="96" t="str">
        <x:v>Consecuencia revisada por el dueño</x:v>
      </x:c>
      <x:c r="D18" s="96" t="str">
        <x:v>Nunca se calcula sola</x:v>
      </x:c>
    </x:row>
  </x:sheetData>
  <x:pageMargins left="0.7" right="0.7" top="0.75" bottom="0.75" header="0.3" footer="0.3"/>
</x:worksheet>
</file>